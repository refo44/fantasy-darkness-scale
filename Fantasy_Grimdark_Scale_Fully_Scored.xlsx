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f292d0ec9348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hodology" sheetId="1" r:id="R2e0472b6ca1d4c74"/>
    <x:sheet xmlns:r="http://schemas.openxmlformats.org/officeDocument/2006/relationships" name="Evaluations" sheetId="2" r:id="R41747af312f44472"/>
    <x:sheet xmlns:r="http://schemas.openxmlformats.org/officeDocument/2006/relationships" name="Summary" sheetId="3" r:id="Rb8fe650d1e2342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0"/>
    <x:numFmt numFmtId="202" formatCode="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bbc578e8b34c32" /><Relationship Type="http://schemas.openxmlformats.org/officeDocument/2006/relationships/theme" Target="/xl/theme/theme1.xml" Id="Rcc0d917a3ced4158" /><Relationship Type="http://schemas.openxmlformats.org/officeDocument/2006/relationships/sharedStrings" Target="/xl/sharedStrings.xml" Id="R5cc957736a504668" /><Relationship Type="http://schemas.openxmlformats.org/officeDocument/2006/relationships/worksheet" Target="/xl/worksheets/sheet1.xml" Id="R2e0472b6ca1d4c74" /><Relationship Type="http://schemas.openxmlformats.org/officeDocument/2006/relationships/worksheet" Target="/xl/worksheets/sheet2.xml" Id="R41747af312f44472" /><Relationship Type="http://schemas.openxmlformats.org/officeDocument/2006/relationships/worksheet" Target="/xl/worksheets/sheet3.xml" Id="Rb8fe650d1e2342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91a562422d48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Number of Works by Tier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Category</c:v>
          </c:tx>
          <c:cat>
            <c:strRef>
              <c:f>'Summary'!$A$4:$A$13</c:f>
              <c:strCache>
                <c:ptCount val="0"/>
              </c:strCache>
            </c:strRef>
          </c:cat>
          <c:val>
            <c:numRef>
              <c:f>'Summary'!$B$4:$B$13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Works</c:v>
          </c:tx>
          <c:cat>
            <c:strRef>
              <c:f>'Summary'!$A$4:$A$13</c:f>
              <c:strCache>
                <c:ptCount val="0"/>
              </c:strCache>
            </c:strRef>
          </c:cat>
          <c:val>
            <c:numRef>
              <c:f>'Summary'!$C$4:$C$13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91a562422d48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antasyEvaluationsTable" displayName="FantasyEvaluationsTable" ref="A1:R74" headerRowCount="1">
  <x:tableColumns count="18">
    <x:tableColumn id="1" name="Tier"/>
    <x:tableColumn id="2" name="Category"/>
    <x:tableColumn id="3" name="Work"/>
    <x:tableColumn id="4" name="Media"/>
    <x:tableColumn id="5" name="Creator / Studio"/>
    <x:tableColumn id="6" name="Cozy Fantasy"/>
    <x:tableColumn id="7" name="Hopepunk"/>
    <x:tableColumn id="8" name="Structural Despair"/>
    <x:tableColumn id="9" name="Limited Heroism"/>
    <x:tableColumn id="10" name="Moral Cynicism"/>
    <x:tableColumn id="11" name="Structural Corruption"/>
    <x:tableColumn id="12" name="Redemption Difficulty"/>
    <x:tableColumn id="13" name="Narrative Acceptance of Injustice"/>
    <x:tableColumn id="14" name="Explicit Darkness"/>
    <x:tableColumn id="15" name="Weighted Internal Score"/>
    <x:tableColumn id="16" name="Calculated Score"/>
    <x:tableColumn id="17" name="Rounded Tier"/>
    <x:tableColumn id="18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78839ca22e42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db0fd5dcefea4f5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8" hidden="0" customWidth="1"/>
    <x:col min="4" max="4" width="38" hidden="0" customWidth="1"/>
    <x:col min="5" max="5" width="14" hidden="0" customWidth="1"/>
  </x:cols>
  <x:sheetData>
    <x:row r="1">
      <x:c r="A1" s="16" t="str">
        <x:v>Fantasy Darkness Scale: Methodology</x:v>
      </x:c>
      <x:c r="B1" s="16"/>
      <x:c r="C1" s="16"/>
      <x:c r="D1" s="16"/>
      <x:c r="E1" s="16"/>
      <x:c r="F1" s="16"/>
      <x:c r="G1" s="16"/>
      <x:c r="H1" s="16"/>
    </x:row>
    <x:row r="2">
      <x:c r="A2" s="17"/>
      <x:c r="B2" s="17"/>
      <x:c r="C2" s="17"/>
      <x:c r="D2" s="17"/>
      <x:c r="E2" s="17"/>
      <x:c r="F2" s="17"/>
      <x:c r="G2" s="17"/>
      <x:c r="H2" s="17"/>
    </x:row>
    <x:row r="3">
      <x:c r="A3" s="18" t="str">
        <x:v>Scale</x:v>
      </x:c>
      <x:c r="B3" s="18" t="str">
        <x:v>Definition</x:v>
      </x:c>
      <x:c r="C3" s="17"/>
      <x:c r="D3" s="18" t="str">
        <x:v>Criterion</x:v>
      </x:c>
      <x:c r="E3" s="18" t="str">
        <x:v>Weight</x:v>
      </x:c>
      <x:c r="F3" s="17"/>
      <x:c r="G3" s="17"/>
      <x:c r="H3" s="17"/>
    </x:row>
    <x:row r="4">
      <x:c r="A4" s="17" t="str">
        <x:v>Criterion range</x:v>
      </x:c>
      <x:c r="B4" s="17" t="str">
        <x:v>0 = absent / opposite tendency; 4 = maximal grimdark tendency</x:v>
      </x:c>
      <x:c r="C4" s="17"/>
      <x:c r="D4" s="17" t="str">
        <x:v>Structural Despair</x:v>
      </x:c>
      <x:c r="E4" s="19" t="n">
        <x:v>0.15</x:v>
      </x:c>
      <x:c r="F4" s="17"/>
      <x:c r="G4" s="17"/>
      <x:c r="H4" s="17"/>
    </x:row>
    <x:row r="5">
      <x:c r="A5" s="17" t="str">
        <x:v>Structural Despair</x:v>
      </x:c>
      <x:c r="B5" s="17" t="str">
        <x:v>How strongly the world makes lasting improvement unlikely.</x:v>
      </x:c>
      <x:c r="C5" s="17"/>
      <x:c r="D5" s="17" t="str">
        <x:v>Limited Heroism</x:v>
      </x:c>
      <x:c r="E5" s="19" t="n">
        <x:v>0.15</x:v>
      </x:c>
      <x:c r="F5" s="17"/>
      <x:c r="G5" s="17"/>
      <x:c r="H5" s="17"/>
    </x:row>
    <x:row r="6">
      <x:c r="A6" s="17" t="str">
        <x:v>Limited Heroism</x:v>
      </x:c>
      <x:c r="B6" s="17" t="str">
        <x:v>How little heroic action changes the wider structure of the world.</x:v>
      </x:c>
      <x:c r="C6" s="17"/>
      <x:c r="D6" s="17" t="str">
        <x:v>Moral Cynicism</x:v>
      </x:c>
      <x:c r="E6" s="19" t="n">
        <x:v>0.15</x:v>
      </x:c>
      <x:c r="F6" s="17"/>
      <x:c r="G6" s="17"/>
      <x:c r="H6" s="17"/>
    </x:row>
    <x:row r="7">
      <x:c r="A7" s="17" t="str">
        <x:v>Moral Cynicism</x:v>
      </x:c>
      <x:c r="B7" s="17" t="str">
        <x:v>How much the setting rewards selfishness, brutality or moral compromise.</x:v>
      </x:c>
      <x:c r="C7" s="17"/>
      <x:c r="D7" s="17" t="str">
        <x:v>Structural Corruption</x:v>
      </x:c>
      <x:c r="E7" s="19" t="n">
        <x:v>0.15</x:v>
      </x:c>
      <x:c r="F7" s="17"/>
      <x:c r="G7" s="17"/>
      <x:c r="H7" s="17"/>
    </x:row>
    <x:row r="8">
      <x:c r="A8" s="17" t="str">
        <x:v>Structural Corruption</x:v>
      </x:c>
      <x:c r="B8" s="17" t="str">
        <x:v>How deeply injustice and exploitation are embedded in institutions.</x:v>
      </x:c>
      <x:c r="C8" s="17"/>
      <x:c r="D8" s="17" t="str">
        <x:v>Redemption Difficulty</x:v>
      </x:c>
      <x:c r="E8" s="19" t="n">
        <x:v>0.15</x:v>
      </x:c>
      <x:c r="F8" s="17"/>
      <x:c r="G8" s="17"/>
      <x:c r="H8" s="17"/>
    </x:row>
    <x:row r="9">
      <x:c r="A9" s="17" t="str">
        <x:v>Redemption Difficulty</x:v>
      </x:c>
      <x:c r="B9" s="17" t="str">
        <x:v>How difficult meaningful moral recovery or forgiveness is.</x:v>
      </x:c>
      <x:c r="C9" s="17"/>
      <x:c r="D9" s="17" t="str">
        <x:v>Narrative Acceptance of Injustice</x:v>
      </x:c>
      <x:c r="E9" s="19" t="n">
        <x:v>0.15</x:v>
      </x:c>
      <x:c r="F9" s="17"/>
      <x:c r="G9" s="17"/>
      <x:c r="H9" s="17"/>
    </x:row>
    <x:row r="10">
      <x:c r="A10" s="17" t="str">
        <x:v>Narrative Acceptance of Injustice</x:v>
      </x:c>
      <x:c r="B10" s="17" t="str">
        <x:v>How strongly the story treats injustice as permanent or unavoidable.</x:v>
      </x:c>
      <x:c r="C10" s="17"/>
      <x:c r="D10" s="17" t="str">
        <x:v>Explicit Darkness</x:v>
      </x:c>
      <x:c r="E10" s="19" t="n">
        <x:v>0.1</x:v>
      </x:c>
      <x:c r="F10" s="17"/>
      <x:c r="G10" s="17"/>
      <x:c r="H10" s="17"/>
    </x:row>
    <x:row r="11">
      <x:c r="A11" s="17" t="str">
        <x:v>Explicit Darkness</x:v>
      </x:c>
      <x:c r="B11" s="17" t="str">
        <x:v>Visible violence, horror, cruelty, death and disturbing content.</x:v>
      </x:c>
      <x:c r="C11" s="17"/>
      <x:c r="D11" s="17" t="str">
        <x:v>Total</x:v>
      </x:c>
      <x:c r="E11" s="19" t="n">
        <x:v>1</x:v>
      </x:c>
      <x:c r="F11" s="17"/>
      <x:c r="G11" s="17"/>
      <x:c r="H11" s="17"/>
    </x:row>
    <x:row r="12">
      <x:c r="A12" s="17" t="str">
        <x:v>Final score</x:v>
      </x:c>
      <x:c r="B12" s="17" t="str">
        <x:v>1 + weighted internal score × 2.25</x:v>
      </x:c>
      <x:c r="C12" s="17"/>
      <x:c r="D12" s="17"/>
      <x:c r="E12" s="17"/>
      <x:c r="F12" s="17"/>
      <x:c r="G12" s="17"/>
      <x:c r="H12" s="17"/>
    </x:row>
    <x:row r="13">
      <x:c r="A13" s="17"/>
      <x:c r="B13" s="17"/>
      <x:c r="C13" s="17"/>
      <x:c r="D13" s="17"/>
      <x:c r="E13" s="17"/>
      <x:c r="F13" s="17"/>
      <x:c r="G13" s="17"/>
      <x:c r="H13" s="17"/>
    </x:row>
    <x:row r="14">
      <x:c r="A14" s="18" t="str">
        <x:v>Tier</x:v>
      </x:c>
      <x:c r="B14" s="18" t="str">
        <x:v>Category</x:v>
      </x:c>
      <x:c r="C14" s="17"/>
      <x:c r="D14" s="17"/>
      <x:c r="E14" s="17"/>
      <x:c r="F14" s="17"/>
      <x:c r="G14" s="17"/>
      <x:c r="H14" s="17"/>
    </x:row>
    <x:row r="15">
      <x:c r="A15" s="17" t="n">
        <x:v>1</x:v>
      </x:c>
      <x:c r="B15" s="17" t="str">
        <x:v>Cozy Fantasy, Hopepunk &amp; Very Bright Fantasy</x:v>
      </x:c>
      <x:c r="C15" s="17"/>
      <x:c r="D15" s="17"/>
      <x:c r="E15" s="17"/>
      <x:c r="F15" s="17"/>
      <x:c r="G15" s="17"/>
      <x:c r="H15" s="17"/>
    </x:row>
    <x:row r="16">
      <x:c r="A16" s="17" t="n">
        <x:v>2</x:v>
      </x:c>
      <x:c r="B16" s="17" t="str">
        <x:v>Hopepunk, Cozy Fantasy &amp; Heroic Fantasy</x:v>
      </x:c>
      <x:c r="C16" s="17"/>
      <x:c r="D16" s="17"/>
      <x:c r="E16" s="17"/>
      <x:c r="F16" s="17"/>
      <x:c r="G16" s="17"/>
      <x:c r="H16" s="17"/>
    </x:row>
    <x:row r="17">
      <x:c r="A17" s="17" t="n">
        <x:v>3</x:v>
      </x:c>
      <x:c r="B17" s="17" t="str">
        <x:v>Balanced, Melancholic or Hopepunk Fantasy</x:v>
      </x:c>
      <x:c r="C17" s="17"/>
      <x:c r="D17" s="17"/>
      <x:c r="E17" s="17"/>
      <x:c r="F17" s="17"/>
      <x:c r="G17" s="17"/>
      <x:c r="H17" s="17"/>
    </x:row>
    <x:row r="18">
      <x:c r="A18" s="17" t="n">
        <x:v>4</x:v>
      </x:c>
      <x:c r="B18" s="17" t="str">
        <x:v>Dark Fantasy with Hope</x:v>
      </x:c>
      <x:c r="C18" s="17"/>
      <x:c r="D18" s="17"/>
      <x:c r="E18" s="17"/>
      <x:c r="F18" s="17"/>
      <x:c r="G18" s="17"/>
      <x:c r="H18" s="17"/>
    </x:row>
    <x:row r="19">
      <x:c r="A19" s="17" t="n">
        <x:v>5</x:v>
      </x:c>
      <x:c r="B19" s="17" t="str">
        <x:v>Gloomy Fantasy</x:v>
      </x:c>
      <x:c r="C19" s="17"/>
      <x:c r="D19" s="17"/>
      <x:c r="E19" s="17"/>
      <x:c r="F19" s="17"/>
      <x:c r="G19" s="17"/>
      <x:c r="H19" s="17"/>
    </x:row>
    <x:row r="20">
      <x:c r="A20" s="17" t="n">
        <x:v>6</x:v>
      </x:c>
      <x:c r="B20" s="17" t="str">
        <x:v>Dark Fantasy</x:v>
      </x:c>
      <x:c r="C20" s="17"/>
      <x:c r="D20" s="17"/>
      <x:c r="E20" s="17"/>
      <x:c r="F20" s="17"/>
      <x:c r="G20" s="17"/>
      <x:c r="H20" s="17"/>
    </x:row>
    <x:row r="21">
      <x:c r="A21" s="17" t="n">
        <x:v>7</x:v>
      </x:c>
      <x:c r="B21" s="17" t="str">
        <x:v>Grimdark</x:v>
      </x:c>
      <x:c r="C21" s="17"/>
      <x:c r="D21" s="17"/>
      <x:c r="E21" s="17"/>
      <x:c r="F21" s="17"/>
      <x:c r="G21" s="17"/>
      <x:c r="H21" s="17"/>
    </x:row>
    <x:row r="22">
      <x:c r="A22" s="17" t="n">
        <x:v>8</x:v>
      </x:c>
      <x:c r="B22" s="17" t="str">
        <x:v>Intense Grimdark</x:v>
      </x:c>
      <x:c r="C22" s="17"/>
      <x:c r="D22" s="17"/>
      <x:c r="E22" s="17"/>
      <x:c r="F22" s="17"/>
      <x:c r="G22" s="17"/>
      <x:c r="H22" s="17"/>
    </x:row>
    <x:row r="23">
      <x:c r="A23" s="17" t="n">
        <x:v>9</x:v>
      </x:c>
      <x:c r="B23" s="17" t="str">
        <x:v>Extreme Grimdark</x:v>
      </x:c>
      <x:c r="C23" s="17"/>
      <x:c r="D23" s="17"/>
      <x:c r="E23" s="17"/>
      <x:c r="F23" s="17"/>
      <x:c r="G23" s="17"/>
      <x:c r="H23" s="17"/>
    </x:row>
    <x:row r="24">
      <x:c r="A24" s="17" t="n">
        <x:v>10</x:v>
      </x:c>
      <x:c r="B24" s="17" t="str">
        <x:v>Very Extreme Grimdark</x:v>
      </x:c>
      <x:c r="C24" s="17"/>
      <x:c r="D24" s="17"/>
      <x:c r="E24" s="17"/>
      <x:c r="F24" s="17"/>
      <x:c r="G24" s="17"/>
      <x:c r="H24" s="17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34" hidden="0" customWidth="1"/>
    <x:col min="4" max="4" width="24" hidden="0" customWidth="1"/>
    <x:col min="5" max="5" width="32" hidden="0" customWidth="1"/>
    <x:col min="6" max="6" width="14" hidden="0" customWidth="1"/>
    <x:col min="7" max="7" width="14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8" hidden="0" customWidth="1"/>
    <x:col min="16" max="16" width="18" hidden="0" customWidth="1"/>
    <x:col min="17" max="17" width="12" hidden="0" customWidth="1"/>
    <x:col min="18" max="18" width="52" hidden="0" customWidth="1"/>
  </x:cols>
  <x:sheetData>
    <x:row r="1" ht="34" customHeight="1">
      <x:c r="A1" s="28" t="str">
        <x:v>Tier</x:v>
      </x:c>
      <x:c r="B1" s="28" t="str">
        <x:v>Category</x:v>
      </x:c>
      <x:c r="C1" s="28" t="str">
        <x:v>Work</x:v>
      </x:c>
      <x:c r="D1" s="28" t="str">
        <x:v>Media</x:v>
      </x:c>
      <x:c r="E1" s="28" t="str">
        <x:v>Creator / Studio</x:v>
      </x:c>
      <x:c r="F1" s="28" t="str">
        <x:v>Cozy Fantasy</x:v>
      </x:c>
      <x:c r="G1" s="28" t="str">
        <x:v>Hopepunk</x:v>
      </x:c>
      <x:c r="H1" s="28" t="str">
        <x:v>Structural Despair</x:v>
      </x:c>
      <x:c r="I1" s="28" t="str">
        <x:v>Limited Heroism</x:v>
      </x:c>
      <x:c r="J1" s="28" t="str">
        <x:v>Moral Cynicism</x:v>
      </x:c>
      <x:c r="K1" s="28" t="str">
        <x:v>Structural Corruption</x:v>
      </x:c>
      <x:c r="L1" s="28" t="str">
        <x:v>Redemption Difficulty</x:v>
      </x:c>
      <x:c r="M1" s="28" t="str">
        <x:v>Narrative Acceptance of Injustice</x:v>
      </x:c>
      <x:c r="N1" s="28" t="str">
        <x:v>Explicit Darkness</x:v>
      </x:c>
      <x:c r="O1" s="28" t="str">
        <x:v>Weighted Internal Score</x:v>
      </x:c>
      <x:c r="P1" s="28" t="str">
        <x:v>Calculated Score</x:v>
      </x:c>
      <x:c r="Q1" s="28" t="str">
        <x:v>Rounded Tier</x:v>
      </x:c>
      <x:c r="R1" s="28" t="str">
        <x:v>Notes</x:v>
      </x:c>
    </x:row>
    <x:row r="2">
      <x:c r="A2" s="38" t="n">
        <x:v>1</x:v>
      </x:c>
      <x:c r="B2" s="17" t="str">
        <x:v>Cozy Fantasy, Hopepunk &amp; Very Bright Fantasy</x:v>
      </x:c>
      <x:c r="C2" s="17" t="str">
        <x:v>My Neighbor Totoro</x:v>
      </x:c>
      <x:c r="D2" s="17" t="str">
        <x:v>Film</x:v>
      </x:c>
      <x:c r="E2" s="17" t="str">
        <x:v>Studio Ghibli / Hayao Miyazaki</x:v>
      </x:c>
      <x:c r="F2" s="17" t="str">
        <x:v>Yes</x:v>
      </x:c>
      <x:c r="G2" s="17" t="str">
        <x:v>Yes</x:v>
      </x:c>
      <x:c r="H2" s="39" t="n">
        <x:v>0.1</x:v>
      </x:c>
      <x:c r="I2" s="39" t="n">
        <x:v>0.05</x:v>
      </x:c>
      <x:c r="J2" s="39" t="n">
        <x:v>0.05</x:v>
      </x:c>
      <x:c r="K2" s="39" t="n">
        <x:v>0.05</x:v>
      </x:c>
      <x:c r="L2" s="39" t="n">
        <x:v>0.05</x:v>
      </x:c>
      <x:c r="M2" s="39" t="n">
        <x:v>0.05</x:v>
      </x:c>
      <x:c r="N2" s="39" t="n">
        <x:v>0.15</x:v>
      </x:c>
      <x:c r="O2" s="39" t="n">
        <x:f>H2*Methodology!$E$4+I2*Methodology!$E$5+J2*Methodology!$E$6+K2*Methodology!$E$7+L2*Methodology!$E$8+M2*Methodology!$E$9+N2*Methodology!$E$10</x:f>
        <x:v>0.0675</x:v>
      </x:c>
      <x:c r="P2" s="39" t="n">
        <x:f>1+(O2*2.25)</x:f>
        <x:v>1.151875</x:v>
      </x:c>
      <x:c r="Q2" s="38" t="n">
        <x:f>ROUND(P2,0)</x:f>
        <x:v>1</x:v>
      </x:c>
      <x:c r="R2" s="17" t="str">
        <x:v>Everyday kindness, family care and healing dominate the worldview.</x:v>
      </x:c>
    </x:row>
    <x:row r="3">
      <x:c r="A3" s="38" t="n">
        <x:v>1</x:v>
      </x:c>
      <x:c r="B3" s="17" t="str">
        <x:v>Cozy Fantasy, Hopepunk &amp; Very Bright Fantasy</x:v>
      </x:c>
      <x:c r="C3" s="17" t="str">
        <x:v>Kiki's Delivery Service</x:v>
      </x:c>
      <x:c r="D3" s="17" t="str">
        <x:v>Film</x:v>
      </x:c>
      <x:c r="E3" s="17" t="str">
        <x:v>Studio Ghibli / Hayao Miyazaki</x:v>
      </x:c>
      <x:c r="F3" s="17" t="str">
        <x:v>Yes</x:v>
      </x:c>
      <x:c r="G3" s="17" t="str">
        <x:v>Yes</x:v>
      </x:c>
      <x:c r="H3" s="39" t="n">
        <x:v>0.2</x:v>
      </x:c>
      <x:c r="I3" s="39" t="n">
        <x:v>0.05</x:v>
      </x:c>
      <x:c r="J3" s="39" t="n">
        <x:v>0.05</x:v>
      </x:c>
      <x:c r="K3" s="39" t="n">
        <x:v>0.05</x:v>
      </x:c>
      <x:c r="L3" s="39" t="n">
        <x:v>0.05</x:v>
      </x:c>
      <x:c r="M3" s="39" t="n">
        <x:v>0.05</x:v>
      </x:c>
      <x:c r="N3" s="39" t="n">
        <x:v>0.15</x:v>
      </x:c>
      <x:c r="O3" s="39" t="n">
        <x:f>H3*Methodology!$E$4+I3*Methodology!$E$5+J3*Methodology!$E$6+K3*Methodology!$E$7+L3*Methodology!$E$8+M3*Methodology!$E$9+N3*Methodology!$E$10</x:f>
        <x:v>0.0825</x:v>
      </x:c>
      <x:c r="P3" s="39" t="n">
        <x:f>1+(O3*2.25)</x:f>
        <x:v>1.185625</x:v>
      </x:c>
      <x:c r="Q3" s="38" t="n">
        <x:f>ROUND(P3,0)</x:f>
        <x:v>1</x:v>
      </x:c>
      <x:c r="R3" s="17" t="str">
        <x:v>Low-stakes crisis resolved through community and personal growth.</x:v>
      </x:c>
    </x:row>
    <x:row r="4">
      <x:c r="A4" s="38" t="n">
        <x:v>1</x:v>
      </x:c>
      <x:c r="B4" s="17" t="str">
        <x:v>Cozy Fantasy, Hopepunk &amp; Very Bright Fantasy</x:v>
      </x:c>
      <x:c r="C4" s="17" t="str">
        <x:v>Ponyo</x:v>
      </x:c>
      <x:c r="D4" s="17" t="str">
        <x:v>Film</x:v>
      </x:c>
      <x:c r="E4" s="17" t="str">
        <x:v>Studio Ghibli / Hayao Miyazaki</x:v>
      </x:c>
      <x:c r="F4" s="17" t="str">
        <x:v>Yes</x:v>
      </x:c>
      <x:c r="G4" s="17" t="str">
        <x:v>Yes</x:v>
      </x:c>
      <x:c r="H4" s="39" t="n">
        <x:v>0.1</x:v>
      </x:c>
      <x:c r="I4" s="39" t="n">
        <x:v>0.05</x:v>
      </x:c>
      <x:c r="J4" s="39" t="n">
        <x:v>0.05</x:v>
      </x:c>
      <x:c r="K4" s="39" t="n">
        <x:v>0.05</x:v>
      </x:c>
      <x:c r="L4" s="39" t="n">
        <x:v>0.05</x:v>
      </x:c>
      <x:c r="M4" s="39" t="n">
        <x:v>0.05</x:v>
      </x:c>
      <x:c r="N4" s="39" t="n">
        <x:v>0.25</x:v>
      </x:c>
      <x:c r="O4" s="39" t="n">
        <x:f>H4*Methodology!$E$4+I4*Methodology!$E$5+J4*Methodology!$E$6+K4*Methodology!$E$7+L4*Methodology!$E$8+M4*Methodology!$E$9+N4*Methodology!$E$10</x:f>
        <x:v>0.0775</x:v>
      </x:c>
      <x:c r="P4" s="39" t="n">
        <x:f>1+(O4*2.25)</x:f>
        <x:v>1.174375</x:v>
      </x:c>
      <x:c r="Q4" s="38" t="n">
        <x:f>ROUND(P4,0)</x:f>
        <x:v>1</x:v>
      </x:c>
      <x:c r="R4" s="17" t="str">
        <x:v>Danger exists, but wonder, love and reconciliation remain central.</x:v>
      </x:c>
    </x:row>
    <x:row r="5">
      <x:c r="A5" s="38" t="n">
        <x:v>1</x:v>
      </x:c>
      <x:c r="B5" s="17" t="str">
        <x:v>Cozy Fantasy, Hopepunk &amp; Very Bright Fantasy</x:v>
      </x:c>
      <x:c r="C5" s="17" t="str">
        <x:v>Legends &amp; Lattes</x:v>
      </x:c>
      <x:c r="D5" s="17" t="str">
        <x:v>Novel</x:v>
      </x:c>
      <x:c r="E5" s="17" t="str">
        <x:v>Travis Baldree</x:v>
      </x:c>
      <x:c r="F5" s="17" t="str">
        <x:v>Yes</x:v>
      </x:c>
      <x:c r="G5" s="17" t="str">
        <x:v>Yes</x:v>
      </x:c>
      <x:c r="H5" s="39" t="n">
        <x:v>0.1</x:v>
      </x:c>
      <x:c r="I5" s="39" t="n">
        <x:v>0.05</x:v>
      </x:c>
      <x:c r="J5" s="39" t="n">
        <x:v>0.05</x:v>
      </x:c>
      <x:c r="K5" s="39" t="n">
        <x:v>0</x:v>
      </x:c>
      <x:c r="L5" s="39" t="n">
        <x:v>0.05</x:v>
      </x:c>
      <x:c r="M5" s="39" t="n">
        <x:v>0.05</x:v>
      </x:c>
      <x:c r="N5" s="39" t="n">
        <x:v>0.1</x:v>
      </x:c>
      <x:c r="O5" s="39" t="n">
        <x:f>H5*Methodology!$E$4+I5*Methodology!$E$5+J5*Methodology!$E$6+K5*Methodology!$E$7+L5*Methodology!$E$8+M5*Methodology!$E$9+N5*Methodology!$E$10</x:f>
        <x:v>0.055</x:v>
      </x:c>
      <x:c r="P5" s="39" t="n">
        <x:f>1+(O5*2.25)</x:f>
        <x:v>1.12375</x:v>
      </x:c>
      <x:c r="Q5" s="38" t="n">
        <x:f>ROUND(P5,0)</x:f>
        <x:v>1</x:v>
      </x:c>
      <x:c r="R5" s="17" t="str">
        <x:v>A flagship cozy fantasy built around community and second chances.</x:v>
      </x:c>
    </x:row>
    <x:row r="6">
      <x:c r="A6" s="38" t="n">
        <x:v>2</x:v>
      </x:c>
      <x:c r="B6" s="17" t="str">
        <x:v>Hopepunk, Cozy Fantasy &amp; Heroic Fantasy</x:v>
      </x:c>
      <x:c r="C6" s="17" t="str">
        <x:v>The House in the Cerulean Sea</x:v>
      </x:c>
      <x:c r="D6" s="17" t="str">
        <x:v>Novel</x:v>
      </x:c>
      <x:c r="E6" s="17" t="str">
        <x:v>T. J. Klune</x:v>
      </x:c>
      <x:c r="F6" s="17" t="str">
        <x:v>Partial</x:v>
      </x:c>
      <x:c r="G6" s="17" t="str">
        <x:v>Yes</x:v>
      </x:c>
      <x:c r="H6" s="39" t="n">
        <x:v>0.45</x:v>
      </x:c>
      <x:c r="I6" s="39" t="n">
        <x:v>0.3</x:v>
      </x:c>
      <x:c r="J6" s="39" t="n">
        <x:v>0.3</x:v>
      </x:c>
      <x:c r="K6" s="39" t="n">
        <x:v>0.6</x:v>
      </x:c>
      <x:c r="L6" s="39" t="n">
        <x:v>0.25</x:v>
      </x:c>
      <x:c r="M6" s="39" t="n">
        <x:v>0.4</x:v>
      </x:c>
      <x:c r="N6" s="39" t="n">
        <x:v>0.55</x:v>
      </x:c>
      <x:c r="O6" s="39" t="n">
        <x:f>H6*Methodology!$E$4+I6*Methodology!$E$5+J6*Methodology!$E$6+K6*Methodology!$E$7+L6*Methodology!$E$8+M6*Methodology!$E$9+N6*Methodology!$E$10</x:f>
        <x:v>0.39999999999999997</x:v>
      </x:c>
      <x:c r="P6" s="39" t="n">
        <x:f>1+(O6*2.25)</x:f>
        <x:v>1.9</x:v>
      </x:c>
      <x:c r="Q6" s="38" t="n">
        <x:f>ROUND(P6,0)</x:f>
        <x:v>2</x:v>
      </x:c>
      <x:c r="R6" s="17" t="str">
        <x:v>Institutional prejudice is real, but empathy and care can reform lives.</x:v>
      </x:c>
    </x:row>
    <x:row r="7">
      <x:c r="A7" s="38" t="n">
        <x:v>2</x:v>
      </x:c>
      <x:c r="B7" s="17" t="str">
        <x:v>Hopepunk, Cozy Fantasy &amp; Heroic Fantasy</x:v>
      </x:c>
      <x:c r="C7" s="17" t="str">
        <x:v>A Conspiracy of Truths</x:v>
      </x:c>
      <x:c r="D7" s="17" t="str">
        <x:v>Novel</x:v>
      </x:c>
      <x:c r="E7" s="17" t="str">
        <x:v>Alexandra Rowland</x:v>
      </x:c>
      <x:c r="F7" s="17" t="str">
        <x:v>No</x:v>
      </x:c>
      <x:c r="G7" s="17" t="str">
        <x:v>Yes</x:v>
      </x:c>
      <x:c r="H7" s="39" t="n">
        <x:v>0.45</x:v>
      </x:c>
      <x:c r="I7" s="39" t="n">
        <x:v>0.4</x:v>
      </x:c>
      <x:c r="J7" s="39" t="n">
        <x:v>0.55</x:v>
      </x:c>
      <x:c r="K7" s="39" t="n">
        <x:v>0.65</x:v>
      </x:c>
      <x:c r="L7" s="39" t="n">
        <x:v>0.25</x:v>
      </x:c>
      <x:c r="M7" s="39" t="n">
        <x:v>0.25</x:v>
      </x:c>
      <x:c r="N7" s="39" t="n">
        <x:v>0.55</x:v>
      </x:c>
      <x:c r="O7" s="39" t="n">
        <x:f>H7*Methodology!$E$4+I7*Methodology!$E$5+J7*Methodology!$E$6+K7*Methodology!$E$7+L7*Methodology!$E$8+M7*Methodology!$E$9+N7*Methodology!$E$10</x:f>
        <x:v>0.43749999999999994</x:v>
      </x:c>
      <x:c r="P7" s="39" t="n">
        <x:f>1+(O7*2.25)</x:f>
        <x:v>1.984375</x:v>
      </x:c>
      <x:c r="Q7" s="38" t="n">
        <x:f>ROUND(P7,0)</x:f>
        <x:v>2</x:v>
      </x:c>
      <x:c r="R7" s="17" t="str">
        <x:v>Hopepunk through resistance, storytelling and collective action.</x:v>
      </x:c>
    </x:row>
    <x:row r="8">
      <x:c r="A8" s="38" t="n">
        <x:v>2</x:v>
      </x:c>
      <x:c r="B8" s="17" t="str">
        <x:v>Hopepunk, Cozy Fantasy &amp; Heroic Fantasy</x:v>
      </x:c>
      <x:c r="C8" s="17" t="str">
        <x:v>A Choir of Lies</x:v>
      </x:c>
      <x:c r="D8" s="17" t="str">
        <x:v>Novel</x:v>
      </x:c>
      <x:c r="E8" s="17" t="str">
        <x:v>Alexandra Rowland</x:v>
      </x:c>
      <x:c r="F8" s="17" t="str">
        <x:v>No</x:v>
      </x:c>
      <x:c r="G8" s="17" t="str">
        <x:v>Yes</x:v>
      </x:c>
      <x:c r="H8" s="39" t="n">
        <x:v>0.45</x:v>
      </x:c>
      <x:c r="I8" s="39" t="n">
        <x:v>0.3</x:v>
      </x:c>
      <x:c r="J8" s="39" t="n">
        <x:v>0.5</x:v>
      </x:c>
      <x:c r="K8" s="39" t="n">
        <x:v>0.6</x:v>
      </x:c>
      <x:c r="L8" s="39" t="n">
        <x:v>0.35</x:v>
      </x:c>
      <x:c r="M8" s="39" t="n">
        <x:v>0.25</x:v>
      </x:c>
      <x:c r="N8" s="39" t="n">
        <x:v>0.55</x:v>
      </x:c>
      <x:c r="O8" s="39" t="n">
        <x:f>H8*Methodology!$E$4+I8*Methodology!$E$5+J8*Methodology!$E$6+K8*Methodology!$E$7+L8*Methodology!$E$8+M8*Methodology!$E$9+N8*Methodology!$E$10</x:f>
        <x:v>0.42249999999999993</x:v>
      </x:c>
      <x:c r="P8" s="39" t="n">
        <x:f>1+(O8*2.25)</x:f>
        <x:v>1.9506249999999998</x:v>
      </x:c>
      <x:c r="Q8" s="38" t="n">
        <x:f>ROUND(P8,0)</x:f>
        <x:v>2</x:v>
      </x:c>
      <x:c r="R8" s="17" t="str">
        <x:v>Community repair and truth oppose manipulation and social harm.</x:v>
      </x:c>
    </x:row>
    <x:row r="9">
      <x:c r="A9" s="38" t="n">
        <x:v>2</x:v>
      </x:c>
      <x:c r="B9" s="17" t="str">
        <x:v>Hopepunk, Cozy Fantasy &amp; Heroic Fantasy</x:v>
      </x:c>
      <x:c r="C9" s="17" t="str">
        <x:v>The Chronicles of Narnia</x:v>
      </x:c>
      <x:c r="D9" s="17" t="str">
        <x:v>Novels / Films</x:v>
      </x:c>
      <x:c r="E9" s="17" t="str">
        <x:v>C. S. Lewis</x:v>
      </x:c>
      <x:c r="F9" s="17" t="str">
        <x:v>No</x:v>
      </x:c>
      <x:c r="G9" s="17" t="str">
        <x:v>Yes</x:v>
      </x:c>
      <x:c r="H9" s="39" t="n">
        <x:v>0.45</x:v>
      </x:c>
      <x:c r="I9" s="39" t="n">
        <x:v>0.3</x:v>
      </x:c>
      <x:c r="J9" s="39" t="n">
        <x:v>0.3</x:v>
      </x:c>
      <x:c r="K9" s="39" t="n">
        <x:v>0.4</x:v>
      </x:c>
      <x:c r="L9" s="39" t="n">
        <x:v>0.25</x:v>
      </x:c>
      <x:c r="M9" s="39" t="n">
        <x:v>0.25</x:v>
      </x:c>
      <x:c r="N9" s="39" t="n">
        <x:v>0.7</x:v>
      </x:c>
      <x:c r="O9" s="39" t="n">
        <x:f>H9*Methodology!$E$4+I9*Methodology!$E$5+J9*Methodology!$E$6+K9*Methodology!$E$7+L9*Methodology!$E$8+M9*Methodology!$E$9+N9*Methodology!$E$10</x:f>
        <x:v>0.3625</x:v>
      </x:c>
      <x:c r="P9" s="39" t="n">
        <x:f>1+(O9*2.25)</x:f>
        <x:v>1.8156249999999998</x:v>
      </x:c>
      <x:c r="Q9" s="38" t="n">
        <x:f>ROUND(P9,0)</x:f>
        <x:v>2</x:v>
      </x:c>
      <x:c r="R9" s="17" t="str">
        <x:v>Moral clarity, sacrifice and restoration make hope structurally dominant.</x:v>
      </x:c>
    </x:row>
    <x:row r="10">
      <x:c r="A10" s="38" t="n">
        <x:v>2</x:v>
      </x:c>
      <x:c r="B10" s="17" t="str">
        <x:v>Hopepunk, Cozy Fantasy &amp; Heroic Fantasy</x:v>
      </x:c>
      <x:c r="C10" s="17" t="str">
        <x:v>Dungeons &amp; Dragons: Honor Among Thieves</x:v>
      </x:c>
      <x:c r="D10" s="17" t="str">
        <x:v>Film</x:v>
      </x:c>
      <x:c r="E10" s="17" t="str">
        <x:v>Jonathan Goldstein / John Francis Daley</x:v>
      </x:c>
      <x:c r="F10" s="17" t="str">
        <x:v>No</x:v>
      </x:c>
      <x:c r="G10" s="17" t="str">
        <x:v>Yes</x:v>
      </x:c>
      <x:c r="H10" s="39" t="n">
        <x:v>0.45</x:v>
      </x:c>
      <x:c r="I10" s="39" t="n">
        <x:v>0.3</x:v>
      </x:c>
      <x:c r="J10" s="39" t="n">
        <x:v>0.4</x:v>
      </x:c>
      <x:c r="K10" s="39" t="n">
        <x:v>0.4</x:v>
      </x:c>
      <x:c r="L10" s="39" t="n">
        <x:v>0.25</x:v>
      </x:c>
      <x:c r="M10" s="39" t="n">
        <x:v>0.25</x:v>
      </x:c>
      <x:c r="N10" s="39" t="n">
        <x:v>0.55</x:v>
      </x:c>
      <x:c r="O10" s="39" t="n">
        <x:f>H10*Methodology!$E$4+I10*Methodology!$E$5+J10*Methodology!$E$6+K10*Methodology!$E$7+L10*Methodology!$E$8+M10*Methodology!$E$9+N10*Methodology!$E$10</x:f>
        <x:v>0.36249999999999993</x:v>
      </x:c>
      <x:c r="P10" s="39" t="n">
        <x:f>1+(O10*2.25)</x:f>
        <x:v>1.8156249999999998</x:v>
      </x:c>
      <x:c r="Q10" s="38" t="n">
        <x:f>ROUND(P10,0)</x:f>
        <x:v>2</x:v>
      </x:c>
      <x:c r="R10" s="17" t="str">
        <x:v>A flawed but fundamentally decent group succeeds through trust.</x:v>
      </x:c>
    </x:row>
    <x:row r="11">
      <x:c r="A11" s="38" t="n">
        <x:v>2</x:v>
      </x:c>
      <x:c r="B11" s="17" t="str">
        <x:v>Hopepunk, Cozy Fantasy &amp; Heroic Fantasy</x:v>
      </x:c>
      <x:c r="C11" s="17" t="str">
        <x:v>Harry Potter and the Philosopher's Stone</x:v>
      </x:c>
      <x:c r="D11" s="17" t="str">
        <x:v>Novel / Film</x:v>
      </x:c>
      <x:c r="E11" s="17" t="str">
        <x:v>J. K. Rowling</x:v>
      </x:c>
      <x:c r="F11" s="17" t="str">
        <x:v>No</x:v>
      </x:c>
      <x:c r="G11" s="17" t="str">
        <x:v>Yes</x:v>
      </x:c>
      <x:c r="H11" s="39" t="n">
        <x:v>0.45</x:v>
      </x:c>
      <x:c r="I11" s="39" t="n">
        <x:v>0.3</x:v>
      </x:c>
      <x:c r="J11" s="39" t="n">
        <x:v>0.3</x:v>
      </x:c>
      <x:c r="K11" s="39" t="n">
        <x:v>0.4</x:v>
      </x:c>
      <x:c r="L11" s="39" t="n">
        <x:v>0.25</x:v>
      </x:c>
      <x:c r="M11" s="39" t="n">
        <x:v>0.25</x:v>
      </x:c>
      <x:c r="N11" s="39" t="n">
        <x:v>0.55</x:v>
      </x:c>
      <x:c r="O11" s="39" t="n">
        <x:f>H11*Methodology!$E$4+I11*Methodology!$E$5+J11*Methodology!$E$6+K11*Methodology!$E$7+L11*Methodology!$E$8+M11*Methodology!$E$9+N11*Methodology!$E$10</x:f>
        <x:v>0.3475</x:v>
      </x:c>
      <x:c r="P11" s="39" t="n">
        <x:f>1+(O11*2.25)</x:f>
        <x:v>1.7818749999999999</x:v>
      </x:c>
      <x:c r="Q11" s="38" t="n">
        <x:f>ROUND(P11,0)</x:f>
        <x:v>2</x:v>
      </x:c>
      <x:c r="R11" s="17" t="str">
        <x:v>A dangerous world presented through wonder, friendship and clear moral agency.</x:v>
      </x:c>
    </x:row>
    <x:row r="12">
      <x:c r="A12" s="38" t="n">
        <x:v>2</x:v>
      </x:c>
      <x:c r="B12" s="17" t="str">
        <x:v>Hopepunk, Cozy Fantasy &amp; Heroic Fantasy</x:v>
      </x:c>
      <x:c r="C12" s="17" t="str">
        <x:v>Harry Potter and the Chamber of Secrets</x:v>
      </x:c>
      <x:c r="D12" s="17" t="str">
        <x:v>Novel / Film</x:v>
      </x:c>
      <x:c r="E12" s="17" t="str">
        <x:v>J. K. Rowling</x:v>
      </x:c>
      <x:c r="F12" s="17" t="str">
        <x:v>No</x:v>
      </x:c>
      <x:c r="G12" s="17" t="str">
        <x:v>Yes</x:v>
      </x:c>
      <x:c r="H12" s="39" t="n">
        <x:v>0.45</x:v>
      </x:c>
      <x:c r="I12" s="39" t="n">
        <x:v>0.3</x:v>
      </x:c>
      <x:c r="J12" s="39" t="n">
        <x:v>0.3</x:v>
      </x:c>
      <x:c r="K12" s="39" t="n">
        <x:v>0.5</x:v>
      </x:c>
      <x:c r="L12" s="39" t="n">
        <x:v>0.25</x:v>
      </x:c>
      <x:c r="M12" s="39" t="n">
        <x:v>0.25</x:v>
      </x:c>
      <x:c r="N12" s="39" t="n">
        <x:v>0.75</x:v>
      </x:c>
      <x:c r="O12" s="39" t="n">
        <x:f>H12*Methodology!$E$4+I12*Methodology!$E$5+J12*Methodology!$E$6+K12*Methodology!$E$7+L12*Methodology!$E$8+M12*Methodology!$E$9+N12*Methodology!$E$10</x:f>
        <x:v>0.38249999999999995</x:v>
      </x:c>
      <x:c r="P12" s="39" t="n">
        <x:f>1+(O12*2.25)</x:f>
        <x:v>1.8606249999999998</x:v>
      </x:c>
      <x:c r="Q12" s="38" t="n">
        <x:f>ROUND(P12,0)</x:f>
        <x:v>2</x:v>
      </x:c>
      <x:c r="R12" s="17" t="str">
        <x:v>Prejudice and institutional failure appear, but heroic action decisively works.</x:v>
      </x:c>
    </x:row>
    <x:row r="13">
      <x:c r="A13" s="38" t="n">
        <x:v>2</x:v>
      </x:c>
      <x:c r="B13" s="17" t="str">
        <x:v>Hopepunk, Cozy Fantasy &amp; Heroic Fantasy</x:v>
      </x:c>
      <x:c r="C13" s="17" t="str">
        <x:v>The Hobbit</x:v>
      </x:c>
      <x:c r="D13" s="17" t="str">
        <x:v>Novel / Films</x:v>
      </x:c>
      <x:c r="E13" s="17" t="str">
        <x:v>J. R. R. Tolkien</x:v>
      </x:c>
      <x:c r="F13" s="17" t="str">
        <x:v>No</x:v>
      </x:c>
      <x:c r="G13" s="17" t="str">
        <x:v>Yes</x:v>
      </x:c>
      <x:c r="H13" s="39" t="n">
        <x:v>0.45</x:v>
      </x:c>
      <x:c r="I13" s="39" t="n">
        <x:v>0.3</x:v>
      </x:c>
      <x:c r="J13" s="39" t="n">
        <x:v>0.4</x:v>
      </x:c>
      <x:c r="K13" s="39" t="n">
        <x:v>0.4</x:v>
      </x:c>
      <x:c r="L13" s="39" t="n">
        <x:v>0.25</x:v>
      </x:c>
      <x:c r="M13" s="39" t="n">
        <x:v>0.25</x:v>
      </x:c>
      <x:c r="N13" s="39" t="n">
        <x:v>0.65</x:v>
      </x:c>
      <x:c r="O13" s="39" t="n">
        <x:f>H13*Methodology!$E$4+I13*Methodology!$E$5+J13*Methodology!$E$6+K13*Methodology!$E$7+L13*Methodology!$E$8+M13*Methodology!$E$9+N13*Methodology!$E$10</x:f>
        <x:v>0.37249999999999994</x:v>
      </x:c>
      <x:c r="P13" s="39" t="n">
        <x:f>1+(O13*2.25)</x:f>
        <x:v>1.8381249999999998</x:v>
      </x:c>
      <x:c r="Q13" s="38" t="n">
        <x:f>ROUND(P13,0)</x:f>
        <x:v>2</x:v>
      </x:c>
      <x:c r="R13" s="17" t="str">
        <x:v>Adventure and greed create danger, but courage and mercy remain effective.</x:v>
      </x:c>
    </x:row>
    <x:row r="14">
      <x:c r="A14" s="38" t="n">
        <x:v>2</x:v>
      </x:c>
      <x:c r="B14" s="17" t="str">
        <x:v>Hopepunk, Cozy Fantasy &amp; Heroic Fantasy</x:v>
      </x:c>
      <x:c r="C14" s="17" t="str">
        <x:v>Castle in the Sky</x:v>
      </x:c>
      <x:c r="D14" s="17" t="str">
        <x:v>Film</x:v>
      </x:c>
      <x:c r="E14" s="17" t="str">
        <x:v>Studio Ghibli / Hayao Miyazaki</x:v>
      </x:c>
      <x:c r="F14" s="17" t="str">
        <x:v>No</x:v>
      </x:c>
      <x:c r="G14" s="17" t="str">
        <x:v>Yes</x:v>
      </x:c>
      <x:c r="H14" s="39" t="n">
        <x:v>0.45</x:v>
      </x:c>
      <x:c r="I14" s="39" t="n">
        <x:v>0.3</x:v>
      </x:c>
      <x:c r="J14" s="39" t="n">
        <x:v>0.3</x:v>
      </x:c>
      <x:c r="K14" s="39" t="n">
        <x:v>0.55</x:v>
      </x:c>
      <x:c r="L14" s="39" t="n">
        <x:v>0.25</x:v>
      </x:c>
      <x:c r="M14" s="39" t="n">
        <x:v>0.25</x:v>
      </x:c>
      <x:c r="N14" s="39" t="n">
        <x:v>0.65</x:v>
      </x:c>
      <x:c r="O14" s="39" t="n">
        <x:f>H14*Methodology!$E$4+I14*Methodology!$E$5+J14*Methodology!$E$6+K14*Methodology!$E$7+L14*Methodology!$E$8+M14*Methodology!$E$9+N14*Methodology!$E$10</x:f>
        <x:v>0.37999999999999995</x:v>
      </x:c>
      <x:c r="P14" s="39" t="n">
        <x:f>1+(O14*2.25)</x:f>
        <x:v>1.855</x:v>
      </x:c>
      <x:c r="Q14" s="38" t="n">
        <x:f>ROUND(P14,0)</x:f>
        <x:v>2</x:v>
      </x:c>
      <x:c r="R14" s="17" t="str">
        <x:v>Militarism is condemned and youthful solidarity prevails.</x:v>
      </x:c>
    </x:row>
    <x:row r="15">
      <x:c r="A15" s="38" t="n">
        <x:v>2</x:v>
      </x:c>
      <x:c r="B15" s="17" t="str">
        <x:v>Hopepunk, Cozy Fantasy &amp; Heroic Fantasy</x:v>
      </x:c>
      <x:c r="C15" s="17" t="str">
        <x:v>Spirited Away</x:v>
      </x:c>
      <x:c r="D15" s="17" t="str">
        <x:v>Film</x:v>
      </x:c>
      <x:c r="E15" s="17" t="str">
        <x:v>Studio Ghibli / Hayao Miyazaki</x:v>
      </x:c>
      <x:c r="F15" s="17" t="str">
        <x:v>Partial</x:v>
      </x:c>
      <x:c r="G15" s="17" t="str">
        <x:v>Yes</x:v>
      </x:c>
      <x:c r="H15" s="39" t="n">
        <x:v>0.45</x:v>
      </x:c>
      <x:c r="I15" s="39" t="n">
        <x:v>0.3</x:v>
      </x:c>
      <x:c r="J15" s="39" t="n">
        <x:v>0.4</x:v>
      </x:c>
      <x:c r="K15" s="39" t="n">
        <x:v>0.4</x:v>
      </x:c>
      <x:c r="L15" s="39" t="n">
        <x:v>0.25</x:v>
      </x:c>
      <x:c r="M15" s="39" t="n">
        <x:v>0.25</x:v>
      </x:c>
      <x:c r="N15" s="39" t="n">
        <x:v>0.65</x:v>
      </x:c>
      <x:c r="O15" s="39" t="n">
        <x:f>H15*Methodology!$E$4+I15*Methodology!$E$5+J15*Methodology!$E$6+K15*Methodology!$E$7+L15*Methodology!$E$8+M15*Methodology!$E$9+N15*Methodology!$E$10</x:f>
        <x:v>0.37249999999999994</x:v>
      </x:c>
      <x:c r="P15" s="39" t="n">
        <x:f>1+(O15*2.25)</x:f>
        <x:v>1.8381249999999998</x:v>
      </x:c>
      <x:c r="Q15" s="38" t="n">
        <x:f>ROUND(P15,0)</x:f>
        <x:v>2</x:v>
      </x:c>
      <x:c r="R15" s="17" t="str">
        <x:v>A threatening spirit world is overcome through work, kindness and identity.</x:v>
      </x:c>
    </x:row>
    <x:row r="16">
      <x:c r="A16" s="38" t="n">
        <x:v>2</x:v>
      </x:c>
      <x:c r="B16" s="17" t="str">
        <x:v>Hopepunk, Cozy Fantasy &amp; Heroic Fantasy</x:v>
      </x:c>
      <x:c r="C16" s="17" t="str">
        <x:v>Final Fantasy III &amp; V</x:v>
      </x:c>
      <x:c r="D16" s="17" t="str">
        <x:v>Video Games</x:v>
      </x:c>
      <x:c r="E16" s="17" t="str">
        <x:v>Square</x:v>
      </x:c>
      <x:c r="F16" s="17" t="str">
        <x:v>No</x:v>
      </x:c>
      <x:c r="G16" s="17" t="str">
        <x:v>Yes</x:v>
      </x:c>
      <x:c r="H16" s="39" t="n">
        <x:v>0.45</x:v>
      </x:c>
      <x:c r="I16" s="39" t="n">
        <x:v>0.3</x:v>
      </x:c>
      <x:c r="J16" s="39" t="n">
        <x:v>0.3</x:v>
      </x:c>
      <x:c r="K16" s="39" t="n">
        <x:v>0.4</x:v>
      </x:c>
      <x:c r="L16" s="39" t="n">
        <x:v>0.25</x:v>
      </x:c>
      <x:c r="M16" s="39" t="n">
        <x:v>0.25</x:v>
      </x:c>
      <x:c r="N16" s="39" t="n">
        <x:v>0.65</x:v>
      </x:c>
      <x:c r="O16" s="39" t="n">
        <x:f>H16*Methodology!$E$4+I16*Methodology!$E$5+J16*Methodology!$E$6+K16*Methodology!$E$7+L16*Methodology!$E$8+M16*Methodology!$E$9+N16*Methodology!$E$10</x:f>
        <x:v>0.3575</x:v>
      </x:c>
      <x:c r="P16" s="39" t="n">
        <x:f>1+(O16*2.25)</x:f>
        <x:v>1.8043749999999998</x:v>
      </x:c>
      <x:c r="Q16" s="38" t="n">
        <x:f>ROUND(P16,0)</x:f>
        <x:v>2</x:v>
      </x:c>
      <x:c r="R16" s="17" t="str">
        <x:v>Classic crystal-centered heroism with restorative endings.</x:v>
      </x:c>
    </x:row>
    <x:row r="17">
      <x:c r="A17" s="38" t="n">
        <x:v>2</x:v>
      </x:c>
      <x:c r="B17" s="17" t="str">
        <x:v>Hopepunk, Cozy Fantasy &amp; Heroic Fantasy</x:v>
      </x:c>
      <x:c r="C17" s="17" t="str">
        <x:v>Slayers</x:v>
      </x:c>
      <x:c r="D17" s="17" t="str">
        <x:v>Light Novels / Anime</x:v>
      </x:c>
      <x:c r="E17" s="17" t="str">
        <x:v>Hajime Kanzaka</x:v>
      </x:c>
      <x:c r="F17" s="17" t="str">
        <x:v>No</x:v>
      </x:c>
      <x:c r="G17" s="17" t="str">
        <x:v>Yes</x:v>
      </x:c>
      <x:c r="H17" s="39" t="n">
        <x:v>0.45</x:v>
      </x:c>
      <x:c r="I17" s="39" t="n">
        <x:v>0.3</x:v>
      </x:c>
      <x:c r="J17" s="39" t="n">
        <x:v>0.45</x:v>
      </x:c>
      <x:c r="K17" s="39" t="n">
        <x:v>0.4</x:v>
      </x:c>
      <x:c r="L17" s="39" t="n">
        <x:v>0.25</x:v>
      </x:c>
      <x:c r="M17" s="39" t="n">
        <x:v>0.25</x:v>
      </x:c>
      <x:c r="N17" s="39" t="n">
        <x:v>0.65</x:v>
      </x:c>
      <x:c r="O17" s="39" t="n">
        <x:f>H17*Methodology!$E$4+I17*Methodology!$E$5+J17*Methodology!$E$6+K17*Methodology!$E$7+L17*Methodology!$E$8+M17*Methodology!$E$9+N17*Methodology!$E$10</x:f>
        <x:v>0.37999999999999995</x:v>
      </x:c>
      <x:c r="P17" s="39" t="n">
        <x:f>1+(O17*2.25)</x:f>
        <x:v>1.855</x:v>
      </x:c>
      <x:c r="Q17" s="38" t="n">
        <x:f>ROUND(P17,0)</x:f>
        <x:v>2</x:v>
      </x:c>
      <x:c r="R17" s="17" t="str">
        <x:v>Comic destruction and selfishness never erase the fundamentally heroic frame.</x:v>
      </x:c>
    </x:row>
    <x:row r="18">
      <x:c r="A18" s="38" t="n">
        <x:v>2</x:v>
      </x:c>
      <x:c r="B18" s="17" t="str">
        <x:v>Hopepunk, Cozy Fantasy &amp; Heroic Fantasy</x:v>
      </x:c>
      <x:c r="C18" s="17" t="str">
        <x:v>The Legend of Zelda</x:v>
      </x:c>
      <x:c r="D18" s="17" t="str">
        <x:v>Video Games</x:v>
      </x:c>
      <x:c r="E18" s="17" t="str">
        <x:v>Nintendo</x:v>
      </x:c>
      <x:c r="F18" s="17" t="str">
        <x:v>No</x:v>
      </x:c>
      <x:c r="G18" s="17" t="str">
        <x:v>Yes</x:v>
      </x:c>
      <x:c r="H18" s="39" t="n">
        <x:v>0.45</x:v>
      </x:c>
      <x:c r="I18" s="39" t="n">
        <x:v>0.3</x:v>
      </x:c>
      <x:c r="J18" s="39" t="n">
        <x:v>0.3</x:v>
      </x:c>
      <x:c r="K18" s="39" t="n">
        <x:v>0.4</x:v>
      </x:c>
      <x:c r="L18" s="39" t="n">
        <x:v>0.25</x:v>
      </x:c>
      <x:c r="M18" s="39" t="n">
        <x:v>0.25</x:v>
      </x:c>
      <x:c r="N18" s="39" t="n">
        <x:v>0.7</x:v>
      </x:c>
      <x:c r="O18" s="39" t="n">
        <x:f>H18*Methodology!$E$4+I18*Methodology!$E$5+J18*Methodology!$E$6+K18*Methodology!$E$7+L18*Methodology!$E$8+M18*Methodology!$E$9+N18*Methodology!$E$10</x:f>
        <x:v>0.3625</x:v>
      </x:c>
      <x:c r="P18" s="39" t="n">
        <x:f>1+(O18*2.25)</x:f>
        <x:v>1.8156249999999998</x:v>
      </x:c>
      <x:c r="Q18" s="38" t="n">
        <x:f>ROUND(P18,0)</x:f>
        <x:v>2</x:v>
      </x:c>
      <x:c r="R18" s="17" t="str">
        <x:v>Recurring evil is serious, but courage and restoration are structurally reliable.</x:v>
      </x:c>
    </x:row>
    <x:row r="19">
      <x:c r="A19" s="38" t="n">
        <x:v>3</x:v>
      </x:c>
      <x:c r="B19" s="17" t="str">
        <x:v>Balanced, Melancholic or Hopepunk Fantasy</x:v>
      </x:c>
      <x:c r="C19" s="17" t="str">
        <x:v>Avatar: The Last Airbender</x:v>
      </x:c>
      <x:c r="D19" s="17" t="str">
        <x:v>TV / Novels / Comics</x:v>
      </x:c>
      <x:c r="E19" s="17" t="str">
        <x:v>Michael Dante DiMartino / Bryan Konietzko</x:v>
      </x:c>
      <x:c r="F19" s="17" t="str">
        <x:v>No</x:v>
      </x:c>
      <x:c r="G19" s="17" t="str">
        <x:v>Yes</x:v>
      </x:c>
      <x:c r="H19" s="39" t="n">
        <x:v>0.85</x:v>
      </x:c>
      <x:c r="I19" s="39" t="n">
        <x:v>0.75</x:v>
      </x:c>
      <x:c r="J19" s="39" t="n">
        <x:v>0.65</x:v>
      </x:c>
      <x:c r="K19" s="39" t="n">
        <x:v>1.05</x:v>
      </x:c>
      <x:c r="L19" s="39" t="n">
        <x:v>0.5</x:v>
      </x:c>
      <x:c r="M19" s="39" t="n">
        <x:v>0.6</x:v>
      </x:c>
      <x:c r="N19" s="39" t="n">
        <x:v>1</x:v>
      </x:c>
      <x:c r="O19" s="39" t="n">
        <x:f>H19*Methodology!$E$4+I19*Methodology!$E$5+J19*Methodology!$E$6+K19*Methodology!$E$7+L19*Methodology!$E$8+M19*Methodology!$E$9+N19*Methodology!$E$10</x:f>
        <x:v>0.7599999999999999</x:v>
      </x:c>
      <x:c r="P19" s="39" t="n">
        <x:f>1+(O19*2.25)</x:f>
        <x:v>2.71</x:v>
      </x:c>
      <x:c r="Q19" s="38" t="n">
        <x:f>ROUND(P19,0)</x:f>
        <x:v>3</x:v>
      </x:c>
      <x:c r="R19" s="17" t="str">
        <x:v>War and imperialism are severe, but redemption and systemic change are possible.</x:v>
      </x:c>
    </x:row>
    <x:row r="20">
      <x:c r="A20" s="38" t="n">
        <x:v>3</x:v>
      </x:c>
      <x:c r="B20" s="17" t="str">
        <x:v>Balanced, Melancholic or Hopepunk Fantasy</x:v>
      </x:c>
      <x:c r="C20" s="17" t="str">
        <x:v>Black Clover</x:v>
      </x:c>
      <x:c r="D20" s="17" t="str">
        <x:v>Manga / Anime / Film</x:v>
      </x:c>
      <x:c r="E20" s="17" t="str">
        <x:v>Yūki Tabata</x:v>
      </x:c>
      <x:c r="F20" s="17" t="str">
        <x:v>No</x:v>
      </x:c>
      <x:c r="G20" s="17" t="str">
        <x:v>Yes</x:v>
      </x:c>
      <x:c r="H20" s="39" t="n">
        <x:v>0.85</x:v>
      </x:c>
      <x:c r="I20" s="39" t="n">
        <x:v>0.75</x:v>
      </x:c>
      <x:c r="J20" s="39" t="n">
        <x:v>0.65</x:v>
      </x:c>
      <x:c r="K20" s="39" t="n">
        <x:v>1</x:v>
      </x:c>
      <x:c r="L20" s="39" t="n">
        <x:v>0.6</x:v>
      </x:c>
      <x:c r="M20" s="39" t="n">
        <x:v>0.6</x:v>
      </x:c>
      <x:c r="N20" s="39" t="n">
        <x:v>1</x:v>
      </x:c>
      <x:c r="O20" s="39" t="n">
        <x:f>H20*Methodology!$E$4+I20*Methodology!$E$5+J20*Methodology!$E$6+K20*Methodology!$E$7+L20*Methodology!$E$8+M20*Methodology!$E$9+N20*Methodology!$E$10</x:f>
        <x:v>0.7675</x:v>
      </x:c>
      <x:c r="P20" s="39" t="n">
        <x:f>1+(O20*2.25)</x:f>
        <x:v>2.7268749999999997</x:v>
      </x:c>
      <x:c r="Q20" s="38" t="n">
        <x:f>ROUND(P20,0)</x:f>
        <x:v>3</x:v>
      </x:c>
      <x:c r="R20" s="17" t="str">
        <x:v>Class prejudice exists, yet effort, friendship and reform remain powerful.</x:v>
      </x:c>
    </x:row>
    <x:row r="21">
      <x:c r="A21" s="38" t="n">
        <x:v>3</x:v>
      </x:c>
      <x:c r="B21" s="17" t="str">
        <x:v>Balanced, Melancholic or Hopepunk Fantasy</x:v>
      </x:c>
      <x:c r="C21" s="17" t="str">
        <x:v>DanMachi</x:v>
      </x:c>
      <x:c r="D21" s="17" t="str">
        <x:v>Light Novels / Anime / Manga</x:v>
      </x:c>
      <x:c r="E21" s="17" t="str">
        <x:v>Fujino Ōmori</x:v>
      </x:c>
      <x:c r="F21" s="17" t="str">
        <x:v>No</x:v>
      </x:c>
      <x:c r="G21" s="17" t="str">
        <x:v>Yes</x:v>
      </x:c>
      <x:c r="H21" s="39" t="n">
        <x:v>0.85</x:v>
      </x:c>
      <x:c r="I21" s="39" t="n">
        <x:v>0.75</x:v>
      </x:c>
      <x:c r="J21" s="39" t="n">
        <x:v>0.65</x:v>
      </x:c>
      <x:c r="K21" s="39" t="n">
        <x:v>0.85</x:v>
      </x:c>
      <x:c r="L21" s="39" t="n">
        <x:v>0.6</x:v>
      </x:c>
      <x:c r="M21" s="39" t="n">
        <x:v>0.6</x:v>
      </x:c>
      <x:c r="N21" s="39" t="n">
        <x:v>1.15</x:v>
      </x:c>
      <x:c r="O21" s="39" t="n">
        <x:f>H21*Methodology!$E$4+I21*Methodology!$E$5+J21*Methodology!$E$6+K21*Methodology!$E$7+L21*Methodology!$E$8+M21*Methodology!$E$9+N21*Methodology!$E$10</x:f>
        <x:v>0.76</x:v>
      </x:c>
      <x:c r="P21" s="39" t="n">
        <x:f>1+(O21*2.25)</x:f>
        <x:v>2.71</x:v>
      </x:c>
      <x:c r="Q21" s="38" t="n">
        <x:f>ROUND(P21,0)</x:f>
        <x:v>3</x:v>
      </x:c>
      <x:c r="R21" s="17" t="str">
        <x:v>Repeated danger and loss are balanced by altruistic heroism.</x:v>
      </x:c>
    </x:row>
    <x:row r="22">
      <x:c r="A22" s="38" t="n">
        <x:v>3</x:v>
      </x:c>
      <x:c r="B22" s="17" t="str">
        <x:v>Balanced, Melancholic or Hopepunk Fantasy</x:v>
      </x:c>
      <x:c r="C22" s="17" t="str">
        <x:v>Dragonlance</x:v>
      </x:c>
      <x:c r="D22" s="17" t="str">
        <x:v>Novels / Games</x:v>
      </x:c>
      <x:c r="E22" s="17" t="str">
        <x:v>Margaret Weis / Tracy Hickman</x:v>
      </x:c>
      <x:c r="F22" s="17" t="str">
        <x:v>No</x:v>
      </x:c>
      <x:c r="G22" s="17" t="str">
        <x:v>Yes</x:v>
      </x:c>
      <x:c r="H22" s="39" t="n">
        <x:v>0.85</x:v>
      </x:c>
      <x:c r="I22" s="39" t="n">
        <x:v>0.75</x:v>
      </x:c>
      <x:c r="J22" s="39" t="n">
        <x:v>0.75</x:v>
      </x:c>
      <x:c r="K22" s="39" t="n">
        <x:v>0.85</x:v>
      </x:c>
      <x:c r="L22" s="39" t="n">
        <x:v>0.6</x:v>
      </x:c>
      <x:c r="M22" s="39" t="n">
        <x:v>0.6</x:v>
      </x:c>
      <x:c r="N22" s="39" t="n">
        <x:v>1.2</x:v>
      </x:c>
      <x:c r="O22" s="39" t="n">
        <x:f>H22*Methodology!$E$4+I22*Methodology!$E$5+J22*Methodology!$E$6+K22*Methodology!$E$7+L22*Methodology!$E$8+M22*Methodology!$E$9+N22*Methodology!$E$10</x:f>
        <x:v>0.7799999999999999</x:v>
      </x:c>
      <x:c r="P22" s="39" t="n">
        <x:f>1+(O22*2.25)</x:f>
        <x:v>2.755</x:v>
      </x:c>
      <x:c r="Q22" s="38" t="n">
        <x:f>ROUND(P22,0)</x:f>
        <x:v>3</x:v>
      </x:c>
      <x:c r="R22" s="17" t="str">
        <x:v>Large-scale war and tragedy coexist with classic heroic restoration.</x:v>
      </x:c>
    </x:row>
    <x:row r="23">
      <x:c r="A23" s="38" t="n">
        <x:v>3</x:v>
      </x:c>
      <x:c r="B23" s="17" t="str">
        <x:v>Balanced, Melancholic or Hopepunk Fantasy</x:v>
      </x:c>
      <x:c r="C23" s="17" t="str">
        <x:v>Dungeon Meshi</x:v>
      </x:c>
      <x:c r="D23" s="17" t="str">
        <x:v>Manga / Anime</x:v>
      </x:c>
      <x:c r="E23" s="17" t="str">
        <x:v>Ryoko Kui</x:v>
      </x:c>
      <x:c r="F23" s="17" t="str">
        <x:v>Partial</x:v>
      </x:c>
      <x:c r="G23" s="17" t="str">
        <x:v>Yes</x:v>
      </x:c>
      <x:c r="H23" s="39" t="n">
        <x:v>0.85</x:v>
      </x:c>
      <x:c r="I23" s="39" t="n">
        <x:v>0.75</x:v>
      </x:c>
      <x:c r="J23" s="39" t="n">
        <x:v>0.65</x:v>
      </x:c>
      <x:c r="K23" s="39" t="n">
        <x:v>0.85</x:v>
      </x:c>
      <x:c r="L23" s="39" t="n">
        <x:v>0.55</x:v>
      </x:c>
      <x:c r="M23" s="39" t="n">
        <x:v>0.6</x:v>
      </x:c>
      <x:c r="N23" s="39" t="n">
        <x:v>1.15</x:v>
      </x:c>
      <x:c r="O23" s="39" t="n">
        <x:f>H23*Methodology!$E$4+I23*Methodology!$E$5+J23*Methodology!$E$6+K23*Methodology!$E$7+L23*Methodology!$E$8+M23*Methodology!$E$9+N23*Methodology!$E$10</x:f>
        <x:v>0.7525</x:v>
      </x:c>
      <x:c r="P23" s="39" t="n">
        <x:f>1+(O23*2.25)</x:f>
        <x:v>2.6931249999999998</x:v>
      </x:c>
      <x:c r="Q23" s="38" t="n">
        <x:f>ROUND(P23,0)</x:f>
        <x:v>3</x:v>
      </x:c>
      <x:c r="R23" s="17" t="str">
        <x:v>Mortality and appetite are treated warmly, with strong communal resilience.</x:v>
      </x:c>
    </x:row>
    <x:row r="24">
      <x:c r="A24" s="38" t="n">
        <x:v>3</x:v>
      </x:c>
      <x:c r="B24" s="17" t="str">
        <x:v>Balanced, Melancholic or Hopepunk Fantasy</x:v>
      </x:c>
      <x:c r="C24" s="17" t="str">
        <x:v>Howl's Moving Castle</x:v>
      </x:c>
      <x:c r="D24" s="17" t="str">
        <x:v>Film</x:v>
      </x:c>
      <x:c r="E24" s="17" t="str">
        <x:v>Studio Ghibli / Hayao Miyazaki</x:v>
      </x:c>
      <x:c r="F24" s="17" t="str">
        <x:v>Partial</x:v>
      </x:c>
      <x:c r="G24" s="17" t="str">
        <x:v>Yes</x:v>
      </x:c>
      <x:c r="H24" s="39" t="n">
        <x:v>0.85</x:v>
      </x:c>
      <x:c r="I24" s="39" t="n">
        <x:v>0.75</x:v>
      </x:c>
      <x:c r="J24" s="39" t="n">
        <x:v>0.65</x:v>
      </x:c>
      <x:c r="K24" s="39" t="n">
        <x:v>0.95</x:v>
      </x:c>
      <x:c r="L24" s="39" t="n">
        <x:v>0.6</x:v>
      </x:c>
      <x:c r="M24" s="39" t="n">
        <x:v>0.6</x:v>
      </x:c>
      <x:c r="N24" s="39" t="n">
        <x:v>1.1</x:v>
      </x:c>
      <x:c r="O24" s="39" t="n">
        <x:f>H24*Methodology!$E$4+I24*Methodology!$E$5+J24*Methodology!$E$6+K24*Methodology!$E$7+L24*Methodology!$E$8+M24*Methodology!$E$9+N24*Methodology!$E$10</x:f>
        <x:v>0.7699999999999999</x:v>
      </x:c>
      <x:c r="P24" s="39" t="n">
        <x:f>1+(O24*2.25)</x:f>
        <x:v>2.7325</x:v>
      </x:c>
      <x:c r="Q24" s="38" t="n">
        <x:f>ROUND(P24,0)</x:f>
        <x:v>3</x:v>
      </x:c>
      <x:c r="R24" s="17" t="str">
        <x:v>War darkens the setting, but love and personal change remain decisive.</x:v>
      </x:c>
    </x:row>
    <x:row r="25">
      <x:c r="A25" s="38" t="n">
        <x:v>3</x:v>
      </x:c>
      <x:c r="B25" s="17" t="str">
        <x:v>Balanced, Melancholic or Hopepunk Fantasy</x:v>
      </x:c>
      <x:c r="C25" s="17" t="str">
        <x:v>The Boy and the Heron</x:v>
      </x:c>
      <x:c r="D25" s="17" t="str">
        <x:v>Film</x:v>
      </x:c>
      <x:c r="E25" s="17" t="str">
        <x:v>Studio Ghibli / Hayao Miyazaki</x:v>
      </x:c>
      <x:c r="F25" s="17" t="str">
        <x:v>No</x:v>
      </x:c>
      <x:c r="G25" s="17" t="str">
        <x:v>Yes</x:v>
      </x:c>
      <x:c r="H25" s="39" t="n">
        <x:v>1.05</x:v>
      </x:c>
      <x:c r="I25" s="39" t="n">
        <x:v>0.75</x:v>
      </x:c>
      <x:c r="J25" s="39" t="n">
        <x:v>0.65</x:v>
      </x:c>
      <x:c r="K25" s="39" t="n">
        <x:v>0.85</x:v>
      </x:c>
      <x:c r="L25" s="39" t="n">
        <x:v>0.6</x:v>
      </x:c>
      <x:c r="M25" s="39" t="n">
        <x:v>0.6</x:v>
      </x:c>
      <x:c r="N25" s="39" t="n">
        <x:v>1.15</x:v>
      </x:c>
      <x:c r="O25" s="39" t="n">
        <x:f>H25*Methodology!$E$4+I25*Methodology!$E$5+J25*Methodology!$E$6+K25*Methodology!$E$7+L25*Methodology!$E$8+M25*Methodology!$E$9+N25*Methodology!$E$10</x:f>
        <x:v>0.79</x:v>
      </x:c>
      <x:c r="P25" s="39" t="n">
        <x:f>1+(O25*2.25)</x:f>
        <x:v>2.7775</x:v>
      </x:c>
      <x:c r="Q25" s="38" t="n">
        <x:f>ROUND(P25,0)</x:f>
        <x:v>3</x:v>
      </x:c>
      <x:c r="R25" s="17" t="str">
        <x:v>Grief and ambiguity are significant, though acceptance makes renewal possible.</x:v>
      </x:c>
    </x:row>
    <x:row r="26">
      <x:c r="A26" s="38" t="n">
        <x:v>3</x:v>
      </x:c>
      <x:c r="B26" s="17" t="str">
        <x:v>Balanced, Melancholic or Hopepunk Fantasy</x:v>
      </x:c>
      <x:c r="C26" s="17" t="str">
        <x:v>The Lord of the Rings</x:v>
      </x:c>
      <x:c r="D26" s="17" t="str">
        <x:v>Novels / Films</x:v>
      </x:c>
      <x:c r="E26" s="17" t="str">
        <x:v>J. R. R. Tolkien</x:v>
      </x:c>
      <x:c r="F26" s="17" t="str">
        <x:v>No</x:v>
      </x:c>
      <x:c r="G26" s="17" t="str">
        <x:v>Yes</x:v>
      </x:c>
      <x:c r="H26" s="39" t="n">
        <x:v>1</x:v>
      </x:c>
      <x:c r="I26" s="39" t="n">
        <x:v>0.75</x:v>
      </x:c>
      <x:c r="J26" s="39" t="n">
        <x:v>0.65</x:v>
      </x:c>
      <x:c r="K26" s="39" t="n">
        <x:v>0.85</x:v>
      </x:c>
      <x:c r="L26" s="39" t="n">
        <x:v>0.6</x:v>
      </x:c>
      <x:c r="M26" s="39" t="n">
        <x:v>0.6</x:v>
      </x:c>
      <x:c r="N26" s="39" t="n">
        <x:v>1.2</x:v>
      </x:c>
      <x:c r="O26" s="39" t="n">
        <x:f>H26*Methodology!$E$4+I26*Methodology!$E$5+J26*Methodology!$E$6+K26*Methodology!$E$7+L26*Methodology!$E$8+M26*Methodology!$E$9+N26*Methodology!$E$10</x:f>
        <x:v>0.7875</x:v>
      </x:c>
      <x:c r="P26" s="39" t="n">
        <x:f>1+(O26*2.25)</x:f>
        <x:v>2.7718749999999996</x:v>
      </x:c>
      <x:c r="Q26" s="38" t="n">
        <x:f>ROUND(P26,0)</x:f>
        <x:v>3</x:v>
      </x:c>
      <x:c r="R26" s="17" t="str">
        <x:v>Profound loss exists, but pity, fellowship and providence defeat despair.</x:v>
      </x:c>
    </x:row>
    <x:row r="27">
      <x:c r="A27" s="38" t="n">
        <x:v>3</x:v>
      </x:c>
      <x:c r="B27" s="17" t="str">
        <x:v>Balanced, Melancholic or Hopepunk Fantasy</x:v>
      </x:c>
      <x:c r="C27" s="17" t="str">
        <x:v>Final Fantasy IV</x:v>
      </x:c>
      <x:c r="D27" s="17" t="str">
        <x:v>Video Game</x:v>
      </x:c>
      <x:c r="E27" s="17" t="str">
        <x:v>Square</x:v>
      </x:c>
      <x:c r="F27" s="17" t="str">
        <x:v>No</x:v>
      </x:c>
      <x:c r="G27" s="17" t="str">
        <x:v>Yes</x:v>
      </x:c>
      <x:c r="H27" s="39" t="n">
        <x:v>0.85</x:v>
      </x:c>
      <x:c r="I27" s="39" t="n">
        <x:v>0.75</x:v>
      </x:c>
      <x:c r="J27" s="39" t="n">
        <x:v>0.65</x:v>
      </x:c>
      <x:c r="K27" s="39" t="n">
        <x:v>0.85</x:v>
      </x:c>
      <x:c r="L27" s="39" t="n">
        <x:v>0.5</x:v>
      </x:c>
      <x:c r="M27" s="39" t="n">
        <x:v>0.6</x:v>
      </x:c>
      <x:c r="N27" s="39" t="n">
        <x:v>1.15</x:v>
      </x:c>
      <x:c r="O27" s="39" t="n">
        <x:f>H27*Methodology!$E$4+I27*Methodology!$E$5+J27*Methodology!$E$6+K27*Methodology!$E$7+L27*Methodology!$E$8+M27*Methodology!$E$9+N27*Methodology!$E$10</x:f>
        <x:v>0.745</x:v>
      </x:c>
      <x:c r="P27" s="39" t="n">
        <x:f>1+(O27*2.25)</x:f>
        <x:v>2.67625</x:v>
      </x:c>
      <x:c r="Q27" s="38" t="n">
        <x:f>ROUND(P27,0)</x:f>
        <x:v>3</x:v>
      </x:c>
      <x:c r="R27" s="17" t="str">
        <x:v>Sacrifice and darkness are offset by unusually strong redemption arcs.</x:v>
      </x:c>
    </x:row>
    <x:row r="28">
      <x:c r="A28" s="38" t="n">
        <x:v>3</x:v>
      </x:c>
      <x:c r="B28" s="17" t="str">
        <x:v>Balanced, Melancholic or Hopepunk Fantasy</x:v>
      </x:c>
      <x:c r="C28" s="17" t="str">
        <x:v>Final Fantasy IX</x:v>
      </x:c>
      <x:c r="D28" s="17" t="str">
        <x:v>Video Game</x:v>
      </x:c>
      <x:c r="E28" s="17" t="str">
        <x:v>Square</x:v>
      </x:c>
      <x:c r="F28" s="17" t="str">
        <x:v>No</x:v>
      </x:c>
      <x:c r="G28" s="17" t="str">
        <x:v>Yes</x:v>
      </x:c>
      <x:c r="H28" s="39" t="n">
        <x:v>1</x:v>
      </x:c>
      <x:c r="I28" s="39" t="n">
        <x:v>0.75</x:v>
      </x:c>
      <x:c r="J28" s="39" t="n">
        <x:v>0.65</x:v>
      </x:c>
      <x:c r="K28" s="39" t="n">
        <x:v>0.85</x:v>
      </x:c>
      <x:c r="L28" s="39" t="n">
        <x:v>0.6</x:v>
      </x:c>
      <x:c r="M28" s="39" t="n">
        <x:v>0.6</x:v>
      </x:c>
      <x:c r="N28" s="39" t="n">
        <x:v>1.2</x:v>
      </x:c>
      <x:c r="O28" s="39" t="n">
        <x:f>H28*Methodology!$E$4+I28*Methodology!$E$5+J28*Methodology!$E$6+K28*Methodology!$E$7+L28*Methodology!$E$8+M28*Methodology!$E$9+N28*Methodology!$E$10</x:f>
        <x:v>0.7875</x:v>
      </x:c>
      <x:c r="P28" s="39" t="n">
        <x:f>1+(O28*2.25)</x:f>
        <x:v>2.7718749999999996</x:v>
      </x:c>
      <x:c r="Q28" s="38" t="n">
        <x:f>ROUND(P28,0)</x:f>
        <x:v>3</x:v>
      </x:c>
      <x:c r="R28" s="17" t="str">
        <x:v>Existential mortality is faced through friendship and affirmation of life.</x:v>
      </x:c>
    </x:row>
    <x:row r="29">
      <x:c r="A29" s="38" t="n">
        <x:v>3</x:v>
      </x:c>
      <x:c r="B29" s="17" t="str">
        <x:v>Balanced, Melancholic or Hopepunk Fantasy</x:v>
      </x:c>
      <x:c r="C29" s="17" t="str">
        <x:v>Frieren: Beyond Journey's End</x:v>
      </x:c>
      <x:c r="D29" s="17" t="str">
        <x:v>Manga / Anime</x:v>
      </x:c>
      <x:c r="E29" s="17" t="str">
        <x:v>Kanehito Yamada / Tsukasa Abe</x:v>
      </x:c>
      <x:c r="F29" s="17" t="str">
        <x:v>Partial</x:v>
      </x:c>
      <x:c r="G29" s="17" t="str">
        <x:v>Yes</x:v>
      </x:c>
      <x:c r="H29" s="39" t="n">
        <x:v>0.95</x:v>
      </x:c>
      <x:c r="I29" s="39" t="n">
        <x:v>0.75</x:v>
      </x:c>
      <x:c r="J29" s="39" t="n">
        <x:v>0.65</x:v>
      </x:c>
      <x:c r="K29" s="39" t="n">
        <x:v>0.85</x:v>
      </x:c>
      <x:c r="L29" s="39" t="n">
        <x:v>0.6</x:v>
      </x:c>
      <x:c r="M29" s="39" t="n">
        <x:v>0.6</x:v>
      </x:c>
      <x:c r="N29" s="39" t="n">
        <x:v>1.05</x:v>
      </x:c>
      <x:c r="O29" s="39" t="n">
        <x:f>H29*Methodology!$E$4+I29*Methodology!$E$5+J29*Methodology!$E$6+K29*Methodology!$E$7+L29*Methodology!$E$8+M29*Methodology!$E$9+N29*Methodology!$E$10</x:f>
        <x:v>0.765</x:v>
      </x:c>
      <x:c r="P29" s="39" t="n">
        <x:f>1+(O29*2.25)</x:f>
        <x:v>2.72125</x:v>
      </x:c>
      <x:c r="Q29" s="38" t="n">
        <x:f>ROUND(P29,0)</x:f>
        <x:v>3</x:v>
      </x:c>
      <x:c r="R29" s="17" t="str">
        <x:v>Melancholy and mortality deepen an otherwise humane worldview.</x:v>
      </x:c>
    </x:row>
    <x:row r="30">
      <x:c r="A30" s="38" t="n">
        <x:v>3</x:v>
      </x:c>
      <x:c r="B30" s="17" t="str">
        <x:v>Balanced, Melancholic or Hopepunk Fantasy</x:v>
      </x:c>
      <x:c r="C30" s="17" t="str">
        <x:v>Harry Potter and the Prisoner of Azkaban</x:v>
      </x:c>
      <x:c r="D30" s="17" t="str">
        <x:v>Novel / Film</x:v>
      </x:c>
      <x:c r="E30" s="17" t="str">
        <x:v>J. K. Rowling</x:v>
      </x:c>
      <x:c r="F30" s="17" t="str">
        <x:v>No</x:v>
      </x:c>
      <x:c r="G30" s="17" t="str">
        <x:v>Yes</x:v>
      </x:c>
      <x:c r="H30" s="39" t="n">
        <x:v>0.85</x:v>
      </x:c>
      <x:c r="I30" s="39" t="n">
        <x:v>0.75</x:v>
      </x:c>
      <x:c r="J30" s="39" t="n">
        <x:v>0.65</x:v>
      </x:c>
      <x:c r="K30" s="39" t="n">
        <x:v>1</x:v>
      </x:c>
      <x:c r="L30" s="39" t="n">
        <x:v>0.6</x:v>
      </x:c>
      <x:c r="M30" s="39" t="n">
        <x:v>0.6</x:v>
      </x:c>
      <x:c r="N30" s="39" t="n">
        <x:v>1.15</x:v>
      </x:c>
      <x:c r="O30" s="39" t="n">
        <x:f>H30*Methodology!$E$4+I30*Methodology!$E$5+J30*Methodology!$E$6+K30*Methodology!$E$7+L30*Methodology!$E$8+M30*Methodology!$E$9+N30*Methodology!$E$10</x:f>
        <x:v>0.7825</x:v>
      </x:c>
      <x:c r="P30" s="39" t="n">
        <x:f>1+(O30*2.25)</x:f>
        <x:v>2.760625</x:v>
      </x:c>
      <x:c r="Q30" s="38" t="n">
        <x:f>ROUND(P30,0)</x:f>
        <x:v>3</x:v>
      </x:c>
      <x:c r="R30" s="17" t="str">
        <x:v>Institutional injustice grows, but compassion and agency remain effective.</x:v>
      </x:c>
    </x:row>
    <x:row r="31">
      <x:c r="A31" s="38" t="n">
        <x:v>3</x:v>
      </x:c>
      <x:c r="B31" s="17" t="str">
        <x:v>Balanced, Melancholic or Hopepunk Fantasy</x:v>
      </x:c>
      <x:c r="C31" s="17" t="str">
        <x:v>Harry Potter and the Goblet of Fire</x:v>
      </x:c>
      <x:c r="D31" s="17" t="str">
        <x:v>Novel / Film</x:v>
      </x:c>
      <x:c r="E31" s="17" t="str">
        <x:v>J. K. Rowling</x:v>
      </x:c>
      <x:c r="F31" s="17" t="str">
        <x:v>No</x:v>
      </x:c>
      <x:c r="G31" s="17" t="str">
        <x:v>Yes</x:v>
      </x:c>
      <x:c r="H31" s="39" t="n">
        <x:v>1</x:v>
      </x:c>
      <x:c r="I31" s="39" t="n">
        <x:v>0.75</x:v>
      </x:c>
      <x:c r="J31" s="39" t="n">
        <x:v>0.65</x:v>
      </x:c>
      <x:c r="K31" s="39" t="n">
        <x:v>0.85</x:v>
      </x:c>
      <x:c r="L31" s="39" t="n">
        <x:v>0.6</x:v>
      </x:c>
      <x:c r="M31" s="39" t="n">
        <x:v>0.6</x:v>
      </x:c>
      <x:c r="N31" s="39" t="n">
        <x:v>1.35</x:v>
      </x:c>
      <x:c r="O31" s="39" t="n">
        <x:f>H31*Methodology!$E$4+I31*Methodology!$E$5+J31*Methodology!$E$6+K31*Methodology!$E$7+L31*Methodology!$E$8+M31*Methodology!$E$9+N31*Methodology!$E$10</x:f>
        <x:v>0.8025</x:v>
      </x:c>
      <x:c r="P31" s="39" t="n">
        <x:f>1+(O31*2.25)</x:f>
        <x:v>2.805625</x:v>
      </x:c>
      <x:c r="Q31" s="38" t="n">
        <x:f>ROUND(P31,0)</x:f>
        <x:v>3</x:v>
      </x:c>
      <x:c r="R31" s="17" t="str">
        <x:v>The return of organized evil shifts the saga toward a darker equilibrium.</x:v>
      </x:c>
    </x:row>
    <x:row r="32">
      <x:c r="A32" s="38" t="n">
        <x:v>3</x:v>
      </x:c>
      <x:c r="B32" s="17" t="str">
        <x:v>Balanced, Melancholic or Hopepunk Fantasy</x:v>
      </x:c>
      <x:c r="C32" s="17" t="str">
        <x:v>Earthsea</x:v>
      </x:c>
      <x:c r="D32" s="17" t="str">
        <x:v>Novels</x:v>
      </x:c>
      <x:c r="E32" s="17" t="str">
        <x:v>Ursula K. Le Guin</x:v>
      </x:c>
      <x:c r="F32" s="17" t="str">
        <x:v>No</x:v>
      </x:c>
      <x:c r="G32" s="17" t="str">
        <x:v>Yes</x:v>
      </x:c>
      <x:c r="H32" s="39" t="n">
        <x:v>0.95</x:v>
      </x:c>
      <x:c r="I32" s="39" t="n">
        <x:v>0.75</x:v>
      </x:c>
      <x:c r="J32" s="39" t="n">
        <x:v>0.6</x:v>
      </x:c>
      <x:c r="K32" s="39" t="n">
        <x:v>0.85</x:v>
      </x:c>
      <x:c r="L32" s="39" t="n">
        <x:v>0.6</x:v>
      </x:c>
      <x:c r="M32" s="39" t="n">
        <x:v>0.6</x:v>
      </x:c>
      <x:c r="N32" s="39" t="n">
        <x:v>1</x:v>
      </x:c>
      <x:c r="O32" s="39" t="n">
        <x:f>H32*Methodology!$E$4+I32*Methodology!$E$5+J32*Methodology!$E$6+K32*Methodology!$E$7+L32*Methodology!$E$8+M32*Methodology!$E$9+N32*Methodology!$E$10</x:f>
        <x:v>0.7525</x:v>
      </x:c>
      <x:c r="P32" s="39" t="n">
        <x:f>1+(O32*2.25)</x:f>
        <x:v>2.6931249999999998</x:v>
      </x:c>
      <x:c r="Q32" s="38" t="n">
        <x:f>ROUND(P32,0)</x:f>
        <x:v>3</x:v>
      </x:c>
      <x:c r="R32" s="17" t="str">
        <x:v>Moral complexity is reconciled through balance, responsibility and wisdom.</x:v>
      </x:c>
    </x:row>
    <x:row r="33">
      <x:c r="A33" s="38" t="n">
        <x:v>3</x:v>
      </x:c>
      <x:c r="B33" s="17" t="str">
        <x:v>Balanced, Melancholic or Hopepunk Fantasy</x:v>
      </x:c>
      <x:c r="C33" s="17" t="str">
        <x:v>Witch Hat Atelier</x:v>
      </x:c>
      <x:c r="D33" s="17" t="str">
        <x:v>Manga / Anime</x:v>
      </x:c>
      <x:c r="E33" s="17" t="str">
        <x:v>Kamome Shirahama</x:v>
      </x:c>
      <x:c r="F33" s="17" t="str">
        <x:v>No</x:v>
      </x:c>
      <x:c r="G33" s="17" t="str">
        <x:v>Yes</x:v>
      </x:c>
      <x:c r="H33" s="39" t="n">
        <x:v>0.85</x:v>
      </x:c>
      <x:c r="I33" s="39" t="n">
        <x:v>0.75</x:v>
      </x:c>
      <x:c r="J33" s="39" t="n">
        <x:v>0.65</x:v>
      </x:c>
      <x:c r="K33" s="39" t="n">
        <x:v>1.05</x:v>
      </x:c>
      <x:c r="L33" s="39" t="n">
        <x:v>0.6</x:v>
      </x:c>
      <x:c r="M33" s="39" t="n">
        <x:v>0.6</x:v>
      </x:c>
      <x:c r="N33" s="39" t="n">
        <x:v>1.1</x:v>
      </x:c>
      <x:c r="O33" s="39" t="n">
        <x:f>H33*Methodology!$E$4+I33*Methodology!$E$5+J33*Methodology!$E$6+K33*Methodology!$E$7+L33*Methodology!$E$8+M33*Methodology!$E$9+N33*Methodology!$E$10</x:f>
        <x:v>0.7849999999999999</x:v>
      </x:c>
      <x:c r="P33" s="39" t="n">
        <x:f>1+(O33*2.25)</x:f>
        <x:v>2.76625</x:v>
      </x:c>
      <x:c r="Q33" s="38" t="n">
        <x:f>ROUND(P33,0)</x:f>
        <x:v>3</x:v>
      </x:c>
      <x:c r="R33" s="17" t="str">
        <x:v>Institutional secrecy causes harm, but learning and care point toward reform.</x:v>
      </x:c>
    </x:row>
    <x:row r="34">
      <x:c r="A34" s="38" t="n">
        <x:v>4</x:v>
      </x:c>
      <x:c r="B34" s="17" t="str">
        <x:v>Dark Fantasy with Hope</x:v>
      </x:c>
      <x:c r="C34" s="17" t="str">
        <x:v>Cormyr</x:v>
      </x:c>
      <x:c r="D34" s="17" t="str">
        <x:v>Novel</x:v>
      </x:c>
      <x:c r="E34" s="17" t="str">
        <x:v>Ed Greenwood / Jeff Grubb</x:v>
      </x:c>
      <x:c r="F34" s="17" t="str">
        <x:v>No</x:v>
      </x:c>
      <x:c r="G34" s="17" t="str">
        <x:v>Partial</x:v>
      </x:c>
      <x:c r="H34" s="39" t="n">
        <x:v>1.25</x:v>
      </x:c>
      <x:c r="I34" s="39" t="n">
        <x:v>1.15</x:v>
      </x:c>
      <x:c r="J34" s="39" t="n">
        <x:v>1.3</x:v>
      </x:c>
      <x:c r="K34" s="39" t="n">
        <x:v>1.55</x:v>
      </x:c>
      <x:c r="L34" s="39" t="n">
        <x:v>1</x:v>
      </x:c>
      <x:c r="M34" s="39" t="n">
        <x:v>1.05</x:v>
      </x:c>
      <x:c r="N34" s="39" t="n">
        <x:v>1.45</x:v>
      </x:c>
      <x:c r="O34" s="39" t="n">
        <x:f>H34*Methodology!$E$4+I34*Methodology!$E$5+J34*Methodology!$E$6+K34*Methodology!$E$7+L34*Methodology!$E$8+M34*Methodology!$E$9+N34*Methodology!$E$10</x:f>
        <x:v>1.24</x:v>
      </x:c>
      <x:c r="P34" s="39" t="n">
        <x:f>1+(O34*2.25)</x:f>
        <x:v>3.79</x:v>
      </x:c>
      <x:c r="Q34" s="38" t="n">
        <x:f>ROUND(P34,0)</x:f>
        <x:v>4</x:v>
      </x:c>
      <x:c r="R34" s="17" t="str">
        <x:v>Court intrigue and historical violence darken a still-heroic setting.</x:v>
      </x:c>
    </x:row>
    <x:row r="35">
      <x:c r="A35" s="38" t="n">
        <x:v>4</x:v>
      </x:c>
      <x:c r="B35" s="17" t="str">
        <x:v>Dark Fantasy with Hope</x:v>
      </x:c>
      <x:c r="C35" s="17" t="str">
        <x:v>Elantris</x:v>
      </x:c>
      <x:c r="D35" s="17" t="str">
        <x:v>Novel</x:v>
      </x:c>
      <x:c r="E35" s="17" t="str">
        <x:v>Brandon Sanderson</x:v>
      </x:c>
      <x:c r="F35" s="17" t="str">
        <x:v>No</x:v>
      </x:c>
      <x:c r="G35" s="17" t="str">
        <x:v>Yes</x:v>
      </x:c>
      <x:c r="H35" s="39" t="n">
        <x:v>1.35</x:v>
      </x:c>
      <x:c r="I35" s="39" t="n">
        <x:v>1.15</x:v>
      </x:c>
      <x:c r="J35" s="39" t="n">
        <x:v>1.2</x:v>
      </x:c>
      <x:c r="K35" s="39" t="n">
        <x:v>1.35</x:v>
      </x:c>
      <x:c r="L35" s="39" t="n">
        <x:v>0.9</x:v>
      </x:c>
      <x:c r="M35" s="39" t="n">
        <x:v>1.05</x:v>
      </x:c>
      <x:c r="N35" s="39" t="n">
        <x:v>1.45</x:v>
      </x:c>
      <x:c r="O35" s="39" t="n">
        <x:f>H35*Methodology!$E$4+I35*Methodology!$E$5+J35*Methodology!$E$6+K35*Methodology!$E$7+L35*Methodology!$E$8+M35*Methodology!$E$9+N35*Methodology!$E$10</x:f>
        <x:v>1.195</x:v>
      </x:c>
      <x:c r="P35" s="39" t="n">
        <x:f>1+(O35*2.25)</x:f>
        <x:v>3.68875</x:v>
      </x:c>
      <x:c r="Q35" s="38" t="n">
        <x:f>ROUND(P35,0)</x:f>
        <x:v>4</x:v>
      </x:c>
      <x:c r="R35" s="17" t="str">
        <x:v>Social collapse is severe, but practical compassion rebuilds the community.</x:v>
      </x:c>
    </x:row>
    <x:row r="36">
      <x:c r="A36" s="38" t="n">
        <x:v>4</x:v>
      </x:c>
      <x:c r="B36" s="17" t="str">
        <x:v>Dark Fantasy with Hope</x:v>
      </x:c>
      <x:c r="C36" s="17" t="str">
        <x:v>The Stormlight Archive</x:v>
      </x:c>
      <x:c r="D36" s="17" t="str">
        <x:v>Novels</x:v>
      </x:c>
      <x:c r="E36" s="17" t="str">
        <x:v>Brandon Sanderson</x:v>
      </x:c>
      <x:c r="F36" s="17" t="str">
        <x:v>No</x:v>
      </x:c>
      <x:c r="G36" s="17" t="str">
        <x:v>Yes</x:v>
      </x:c>
      <x:c r="H36" s="39" t="n">
        <x:v>1.35</x:v>
      </x:c>
      <x:c r="I36" s="39" t="n">
        <x:v>1.15</x:v>
      </x:c>
      <x:c r="J36" s="39" t="n">
        <x:v>1.2</x:v>
      </x:c>
      <x:c r="K36" s="39" t="n">
        <x:v>1.35</x:v>
      </x:c>
      <x:c r="L36" s="39" t="n">
        <x:v>1</x:v>
      </x:c>
      <x:c r="M36" s="39" t="n">
        <x:v>1.05</x:v>
      </x:c>
      <x:c r="N36" s="39" t="n">
        <x:v>1.65</x:v>
      </x:c>
      <x:c r="O36" s="39" t="n">
        <x:f>H36*Methodology!$E$4+I36*Methodology!$E$5+J36*Methodology!$E$6+K36*Methodology!$E$7+L36*Methodology!$E$8+M36*Methodology!$E$9+N36*Methodology!$E$10</x:f>
        <x:v>1.23</x:v>
      </x:c>
      <x:c r="P36" s="39" t="n">
        <x:f>1+(O36*2.25)</x:f>
        <x:v>3.7675</x:v>
      </x:c>
      <x:c r="Q36" s="38" t="n">
        <x:f>ROUND(P36,0)</x:f>
        <x:v>4</x:v>
      </x:c>
      <x:c r="R36" s="17" t="str">
        <x:v>Trauma and war are central, but moral oaths make hope structurally effective.</x:v>
      </x:c>
    </x:row>
    <x:row r="37">
      <x:c r="A37" s="38" t="n">
        <x:v>4</x:v>
      </x:c>
      <x:c r="B37" s="17" t="str">
        <x:v>Dark Fantasy with Hope</x:v>
      </x:c>
      <x:c r="C37" s="17" t="str">
        <x:v>The Silmarillion &amp; Great Tales</x:v>
      </x:c>
      <x:c r="D37" s="17" t="str">
        <x:v>Books</x:v>
      </x:c>
      <x:c r="E37" s="17" t="str">
        <x:v>J. R. R. Tolkien</x:v>
      </x:c>
      <x:c r="F37" s="17" t="str">
        <x:v>No</x:v>
      </x:c>
      <x:c r="G37" s="17" t="str">
        <x:v>Partial</x:v>
      </x:c>
      <x:c r="H37" s="39" t="n">
        <x:v>1.55</x:v>
      </x:c>
      <x:c r="I37" s="39" t="n">
        <x:v>1.15</x:v>
      </x:c>
      <x:c r="J37" s="39" t="n">
        <x:v>1.2</x:v>
      </x:c>
      <x:c r="K37" s="39" t="n">
        <x:v>1.35</x:v>
      </x:c>
      <x:c r="L37" s="39" t="n">
        <x:v>1</x:v>
      </x:c>
      <x:c r="M37" s="39" t="n">
        <x:v>1.05</x:v>
      </x:c>
      <x:c r="N37" s="39" t="n">
        <x:v>1.65</x:v>
      </x:c>
      <x:c r="O37" s="39" t="n">
        <x:f>H37*Methodology!$E$4+I37*Methodology!$E$5+J37*Methodology!$E$6+K37*Methodology!$E$7+L37*Methodology!$E$8+M37*Methodology!$E$9+N37*Methodology!$E$10</x:f>
        <x:v>1.26</x:v>
      </x:c>
      <x:c r="P37" s="39" t="n">
        <x:f>1+(O37*2.25)</x:f>
        <x:v>3.835</x:v>
      </x:c>
      <x:c r="Q37" s="38" t="n">
        <x:f>ROUND(P37,0)</x:f>
        <x:v>4</x:v>
      </x:c>
      <x:c r="R37" s="17" t="str">
        <x:v>Long defeats and doomed heroism are framed by ultimate moral meaning.</x:v>
      </x:c>
    </x:row>
    <x:row r="38">
      <x:c r="A38" s="38" t="n">
        <x:v>4</x:v>
      </x:c>
      <x:c r="B38" s="17" t="str">
        <x:v>Dark Fantasy with Hope</x:v>
      </x:c>
      <x:c r="C38" s="17" t="str">
        <x:v>Final Fantasy I, II &amp; XII</x:v>
      </x:c>
      <x:c r="D38" s="17" t="str">
        <x:v>Video Games</x:v>
      </x:c>
      <x:c r="E38" s="17" t="str">
        <x:v>Square / Square Enix</x:v>
      </x:c>
      <x:c r="F38" s="17" t="str">
        <x:v>No</x:v>
      </x:c>
      <x:c r="G38" s="17" t="str">
        <x:v>Partial</x:v>
      </x:c>
      <x:c r="H38" s="39" t="n">
        <x:v>1.25</x:v>
      </x:c>
      <x:c r="I38" s="39" t="n">
        <x:v>1.15</x:v>
      </x:c>
      <x:c r="J38" s="39" t="n">
        <x:v>1.2</x:v>
      </x:c>
      <x:c r="K38" s="39" t="n">
        <x:v>1.5</x:v>
      </x:c>
      <x:c r="L38" s="39" t="n">
        <x:v>1</x:v>
      </x:c>
      <x:c r="M38" s="39" t="n">
        <x:v>1.05</x:v>
      </x:c>
      <x:c r="N38" s="39" t="n">
        <x:v>1.55</x:v>
      </x:c>
      <x:c r="O38" s="39" t="n">
        <x:f>H38*Methodology!$E$4+I38*Methodology!$E$5+J38*Methodology!$E$6+K38*Methodology!$E$7+L38*Methodology!$E$8+M38*Methodology!$E$9+N38*Methodology!$E$10</x:f>
        <x:v>1.2275</x:v>
      </x:c>
      <x:c r="P38" s="39" t="n">
        <x:f>1+(O38*2.25)</x:f>
        <x:v>3.761875</x:v>
      </x:c>
      <x:c r="Q38" s="38" t="n">
        <x:f>ROUND(P38,0)</x:f>
        <x:v>4</x:v>
      </x:c>
      <x:c r="R38" s="17" t="str">
        <x:v>War and tyranny dominate, while heroes can still restore political order.</x:v>
      </x:c>
    </x:row>
    <x:row r="39">
      <x:c r="A39" s="38" t="n">
        <x:v>4</x:v>
      </x:c>
      <x:c r="B39" s="17" t="str">
        <x:v>Dark Fantasy with Hope</x:v>
      </x:c>
      <x:c r="C39" s="17" t="str">
        <x:v>Final Fantasy XIV</x:v>
      </x:c>
      <x:c r="D39" s="17" t="str">
        <x:v>MMORPG</x:v>
      </x:c>
      <x:c r="E39" s="17" t="str">
        <x:v>Square Enix</x:v>
      </x:c>
      <x:c r="F39" s="17" t="str">
        <x:v>No</x:v>
      </x:c>
      <x:c r="G39" s="17" t="str">
        <x:v>Yes</x:v>
      </x:c>
      <x:c r="H39" s="39" t="n">
        <x:v>1.45</x:v>
      </x:c>
      <x:c r="I39" s="39" t="n">
        <x:v>1.15</x:v>
      </x:c>
      <x:c r="J39" s="39" t="n">
        <x:v>1.2</x:v>
      </x:c>
      <x:c r="K39" s="39" t="n">
        <x:v>1.35</x:v>
      </x:c>
      <x:c r="L39" s="39" t="n">
        <x:v>1</x:v>
      </x:c>
      <x:c r="M39" s="39" t="n">
        <x:v>1.05</x:v>
      </x:c>
      <x:c r="N39" s="39" t="n">
        <x:v>1.65</x:v>
      </x:c>
      <x:c r="O39" s="39" t="n">
        <x:f>H39*Methodology!$E$4+I39*Methodology!$E$5+J39*Methodology!$E$6+K39*Methodology!$E$7+L39*Methodology!$E$8+M39*Methodology!$E$9+N39*Methodology!$E$10</x:f>
        <x:v>1.245</x:v>
      </x:c>
      <x:c r="P39" s="39" t="n">
        <x:f>1+(O39*2.25)</x:f>
        <x:v>3.8012500000000005</x:v>
      </x:c>
      <x:c r="Q39" s="38" t="n">
        <x:f>ROUND(P39,0)</x:f>
        <x:v>4</x:v>
      </x:c>
      <x:c r="R39" s="17" t="str">
        <x:v>Repeated apocalypses are met by unusually effective solidarity.</x:v>
      </x:c>
    </x:row>
    <x:row r="40">
      <x:c r="A40" s="38" t="n">
        <x:v>4</x:v>
      </x:c>
      <x:c r="B40" s="17" t="str">
        <x:v>Dark Fantasy with Hope</x:v>
      </x:c>
      <x:c r="C40" s="17" t="str">
        <x:v>Fullmetal Alchemist: Brotherhood</x:v>
      </x:c>
      <x:c r="D40" s="17" t="str">
        <x:v>Manga / Anime</x:v>
      </x:c>
      <x:c r="E40" s="17" t="str">
        <x:v>Hiromu Arakawa</x:v>
      </x:c>
      <x:c r="F40" s="17" t="str">
        <x:v>No</x:v>
      </x:c>
      <x:c r="G40" s="17" t="str">
        <x:v>Yes</x:v>
      </x:c>
      <x:c r="H40" s="39" t="n">
        <x:v>1.25</x:v>
      </x:c>
      <x:c r="I40" s="39" t="n">
        <x:v>1.15</x:v>
      </x:c>
      <x:c r="J40" s="39" t="n">
        <x:v>1.2</x:v>
      </x:c>
      <x:c r="K40" s="39" t="n">
        <x:v>1.6</x:v>
      </x:c>
      <x:c r="L40" s="39" t="n">
        <x:v>1</x:v>
      </x:c>
      <x:c r="M40" s="39" t="n">
        <x:v>1.05</x:v>
      </x:c>
      <x:c r="N40" s="39" t="n">
        <x:v>1.65</x:v>
      </x:c>
      <x:c r="O40" s="39" t="n">
        <x:f>H40*Methodology!$E$4+I40*Methodology!$E$5+J40*Methodology!$E$6+K40*Methodology!$E$7+L40*Methodology!$E$8+M40*Methodology!$E$9+N40*Methodology!$E$10</x:f>
        <x:v>1.2525000000000002</x:v>
      </x:c>
      <x:c r="P40" s="39" t="n">
        <x:f>1+(O40*2.25)</x:f>
        <x:v>3.818125</x:v>
      </x:c>
      <x:c r="Q40" s="38" t="n">
        <x:f>ROUND(P40,0)</x:f>
        <x:v>4</x:v>
      </x:c>
      <x:c r="R40" s="17" t="str">
        <x:v>State violence is systemic, but accountability, reform and redemption succeed.</x:v>
      </x:c>
    </x:row>
    <x:row r="41">
      <x:c r="A41" s="38" t="n">
        <x:v>4</x:v>
      </x:c>
      <x:c r="B41" s="17" t="str">
        <x:v>Dark Fantasy with Hope</x:v>
      </x:c>
      <x:c r="C41" s="17" t="str">
        <x:v>Harry Potter and the Order of the Phoenix</x:v>
      </x:c>
      <x:c r="D41" s="17" t="str">
        <x:v>Novel / Film</x:v>
      </x:c>
      <x:c r="E41" s="17" t="str">
        <x:v>J. K. Rowling</x:v>
      </x:c>
      <x:c r="F41" s="17" t="str">
        <x:v>No</x:v>
      </x:c>
      <x:c r="G41" s="17" t="str">
        <x:v>Partial</x:v>
      </x:c>
      <x:c r="H41" s="39" t="n">
        <x:v>1.25</x:v>
      </x:c>
      <x:c r="I41" s="39" t="n">
        <x:v>1.15</x:v>
      </x:c>
      <x:c r="J41" s="39" t="n">
        <x:v>1.3</x:v>
      </x:c>
      <x:c r="K41" s="39" t="n">
        <x:v>1.6</x:v>
      </x:c>
      <x:c r="L41" s="39" t="n">
        <x:v>1</x:v>
      </x:c>
      <x:c r="M41" s="39" t="n">
        <x:v>1.05</x:v>
      </x:c>
      <x:c r="N41" s="39" t="n">
        <x:v>1.45</x:v>
      </x:c>
      <x:c r="O41" s="39" t="n">
        <x:f>H41*Methodology!$E$4+I41*Methodology!$E$5+J41*Methodology!$E$6+K41*Methodology!$E$7+L41*Methodology!$E$8+M41*Methodology!$E$9+N41*Methodology!$E$10</x:f>
        <x:v>1.2475</x:v>
      </x:c>
      <x:c r="P41" s="39" t="n">
        <x:f>1+(O41*2.25)</x:f>
        <x:v>3.8068750000000002</x:v>
      </x:c>
      <x:c r="Q41" s="38" t="n">
        <x:f>ROUND(P41,0)</x:f>
        <x:v>4</x:v>
      </x:c>
      <x:c r="R41" s="17" t="str">
        <x:v>Authoritarian denial and institutional abuse become central.</x:v>
      </x:c>
    </x:row>
    <x:row r="42">
      <x:c r="A42" s="38" t="n">
        <x:v>4</x:v>
      </x:c>
      <x:c r="B42" s="17" t="str">
        <x:v>Dark Fantasy with Hope</x:v>
      </x:c>
      <x:c r="C42" s="17" t="str">
        <x:v>Harry Potter and the Half-Blood Prince</x:v>
      </x:c>
      <x:c r="D42" s="17" t="str">
        <x:v>Novel / Film</x:v>
      </x:c>
      <x:c r="E42" s="17" t="str">
        <x:v>J. K. Rowling</x:v>
      </x:c>
      <x:c r="F42" s="17" t="str">
        <x:v>No</x:v>
      </x:c>
      <x:c r="G42" s="17" t="str">
        <x:v>Partial</x:v>
      </x:c>
      <x:c r="H42" s="39" t="n">
        <x:v>1.4</x:v>
      </x:c>
      <x:c r="I42" s="39" t="n">
        <x:v>1.15</x:v>
      </x:c>
      <x:c r="J42" s="39" t="n">
        <x:v>1.2</x:v>
      </x:c>
      <x:c r="K42" s="39" t="n">
        <x:v>1.35</x:v>
      </x:c>
      <x:c r="L42" s="39" t="n">
        <x:v>1</x:v>
      </x:c>
      <x:c r="M42" s="39" t="n">
        <x:v>1.05</x:v>
      </x:c>
      <x:c r="N42" s="39" t="n">
        <x:v>1.7</x:v>
      </x:c>
      <x:c r="O42" s="39" t="n">
        <x:f>H42*Methodology!$E$4+I42*Methodology!$E$5+J42*Methodology!$E$6+K42*Methodology!$E$7+L42*Methodology!$E$8+M42*Methodology!$E$9+N42*Methodology!$E$10</x:f>
        <x:v>1.2425</x:v>
      </x:c>
      <x:c r="P42" s="39" t="n">
        <x:f>1+(O42*2.25)</x:f>
        <x:v>3.795625</x:v>
      </x:c>
      <x:c r="Q42" s="38" t="n">
        <x:f>ROUND(P42,0)</x:f>
        <x:v>4</x:v>
      </x:c>
      <x:c r="R42" s="17" t="str">
        <x:v>Moral decline and death intensify while resistance remains meaningful.</x:v>
      </x:c>
    </x:row>
    <x:row r="43">
      <x:c r="A43" s="38" t="n">
        <x:v>4</x:v>
      </x:c>
      <x:c r="B43" s="17" t="str">
        <x:v>Dark Fantasy with Hope</x:v>
      </x:c>
      <x:c r="C43" s="17" t="str">
        <x:v>Harry Potter and the Deathly Hallows</x:v>
      </x:c>
      <x:c r="D43" s="17" t="str">
        <x:v>Novel / Films</x:v>
      </x:c>
      <x:c r="E43" s="17" t="str">
        <x:v>J. K. Rowling</x:v>
      </x:c>
      <x:c r="F43" s="17" t="str">
        <x:v>No</x:v>
      </x:c>
      <x:c r="G43" s="17" t="str">
        <x:v>Yes</x:v>
      </x:c>
      <x:c r="H43" s="39" t="n">
        <x:v>1.25</x:v>
      </x:c>
      <x:c r="I43" s="39" t="n">
        <x:v>1.15</x:v>
      </x:c>
      <x:c r="J43" s="39" t="n">
        <x:v>1.2</x:v>
      </x:c>
      <x:c r="K43" s="39" t="n">
        <x:v>1.55</x:v>
      </x:c>
      <x:c r="L43" s="39" t="n">
        <x:v>1</x:v>
      </x:c>
      <x:c r="M43" s="39" t="n">
        <x:v>1.05</x:v>
      </x:c>
      <x:c r="N43" s="39" t="n">
        <x:v>1.75</x:v>
      </x:c>
      <x:c r="O43" s="39" t="n">
        <x:f>H43*Methodology!$E$4+I43*Methodology!$E$5+J43*Methodology!$E$6+K43*Methodology!$E$7+L43*Methodology!$E$8+M43*Methodology!$E$9+N43*Methodology!$E$10</x:f>
        <x:v>1.2550000000000001</x:v>
      </x:c>
      <x:c r="P43" s="39" t="n">
        <x:f>1+(O43*2.25)</x:f>
        <x:v>3.8237500000000004</x:v>
      </x:c>
      <x:c r="Q43" s="38" t="n">
        <x:f>ROUND(P43,0)</x:f>
        <x:v>4</x:v>
      </x:c>
      <x:c r="R43" s="17" t="str">
        <x:v>A totalitarian order is defeated through sacrifice and collective resistance.</x:v>
      </x:c>
    </x:row>
    <x:row r="44">
      <x:c r="A44" s="38" t="n">
        <x:v>4</x:v>
      </x:c>
      <x:c r="B44" s="17" t="str">
        <x:v>Dark Fantasy with Hope</x:v>
      </x:c>
      <x:c r="C44" s="17" t="str">
        <x:v>Märchen Crown</x:v>
      </x:c>
      <x:c r="D44" s="17" t="str">
        <x:v>Manga</x:v>
      </x:c>
      <x:c r="E44" s="17" t="str">
        <x:v>Aka Akasaka / Aoi Kujira / Ajichika</x:v>
      </x:c>
      <x:c r="F44" s="17" t="str">
        <x:v>No</x:v>
      </x:c>
      <x:c r="G44" s="17" t="str">
        <x:v>Partial</x:v>
      </x:c>
      <x:c r="H44" s="39" t="n">
        <x:v>1.25</x:v>
      </x:c>
      <x:c r="I44" s="39" t="n">
        <x:v>1.15</x:v>
      </x:c>
      <x:c r="J44" s="39" t="n">
        <x:v>1.2</x:v>
      </x:c>
      <x:c r="K44" s="39" t="n">
        <x:v>1.35</x:v>
      </x:c>
      <x:c r="L44" s="39" t="n">
        <x:v>1</x:v>
      </x:c>
      <x:c r="M44" s="39" t="n">
        <x:v>1.05</x:v>
      </x:c>
      <x:c r="N44" s="39" t="n">
        <x:v>1.45</x:v>
      </x:c>
      <x:c r="O44" s="39" t="n">
        <x:f>H44*Methodology!$E$4+I44*Methodology!$E$5+J44*Methodology!$E$6+K44*Methodology!$E$7+L44*Methodology!$E$8+M44*Methodology!$E$9+N44*Methodology!$E$10</x:f>
        <x:v>1.195</x:v>
      </x:c>
      <x:c r="P44" s="39" t="n">
        <x:f>1+(O44*2.25)</x:f>
        <x:v>3.68875</x:v>
      </x:c>
      <x:c r="Q44" s="38" t="n">
        <x:f>ROUND(P44,0)</x:f>
        <x:v>4</x:v>
      </x:c>
      <x:c r="R44" s="17" t="str">
        <x:v>Placed provisionally based on its darker heroic-fantasy balance.</x:v>
      </x:c>
    </x:row>
    <x:row r="45">
      <x:c r="A45" s="38" t="n">
        <x:v>4</x:v>
      </x:c>
      <x:c r="B45" s="17" t="str">
        <x:v>Dark Fantasy with Hope</x:v>
      </x:c>
      <x:c r="C45" s="17" t="str">
        <x:v>Mistborn</x:v>
      </x:c>
      <x:c r="D45" s="17" t="str">
        <x:v>Novels</x:v>
      </x:c>
      <x:c r="E45" s="17" t="str">
        <x:v>Brandon Sanderson</x:v>
      </x:c>
      <x:c r="F45" s="17" t="str">
        <x:v>No</x:v>
      </x:c>
      <x:c r="G45" s="17" t="str">
        <x:v>Yes</x:v>
      </x:c>
      <x:c r="H45" s="39" t="n">
        <x:v>1.35</x:v>
      </x:c>
      <x:c r="I45" s="39" t="n">
        <x:v>1.15</x:v>
      </x:c>
      <x:c r="J45" s="39" t="n">
        <x:v>1.2</x:v>
      </x:c>
      <x:c r="K45" s="39" t="n">
        <x:v>1.6</x:v>
      </x:c>
      <x:c r="L45" s="39" t="n">
        <x:v>1</x:v>
      </x:c>
      <x:c r="M45" s="39" t="n">
        <x:v>1.05</x:v>
      </x:c>
      <x:c r="N45" s="39" t="n">
        <x:v>1.45</x:v>
      </x:c>
      <x:c r="O45" s="39" t="n">
        <x:f>H45*Methodology!$E$4+I45*Methodology!$E$5+J45*Methodology!$E$6+K45*Methodology!$E$7+L45*Methodology!$E$8+M45*Methodology!$E$9+N45*Methodology!$E$10</x:f>
        <x:v>1.2475</x:v>
      </x:c>
      <x:c r="P45" s="39" t="n">
        <x:f>1+(O45*2.25)</x:f>
        <x:v>3.8068750000000002</x:v>
      </x:c>
      <x:c r="Q45" s="38" t="n">
        <x:f>ROUND(P45,0)</x:f>
        <x:v>4</x:v>
      </x:c>
      <x:c r="R45" s="17" t="str">
        <x:v>Oppressive systems can be overthrown, though costs and unintended consequences persist.</x:v>
      </x:c>
    </x:row>
    <x:row r="46">
      <x:c r="A46" s="38" t="n">
        <x:v>4</x:v>
      </x:c>
      <x:c r="B46" s="17" t="str">
        <x:v>Dark Fantasy with Hope</x:v>
      </x:c>
      <x:c r="C46" s="17" t="str">
        <x:v>Discworld</x:v>
      </x:c>
      <x:c r="D46" s="17" t="str">
        <x:v>Novels / Games / Comics</x:v>
      </x:c>
      <x:c r="E46" s="17" t="str">
        <x:v>Terry Pratchett</x:v>
      </x:c>
      <x:c r="F46" s="17" t="str">
        <x:v>Partial</x:v>
      </x:c>
      <x:c r="G46" s="17" t="str">
        <x:v>Yes</x:v>
      </x:c>
      <x:c r="H46" s="39" t="n">
        <x:v>1.25</x:v>
      </x:c>
      <x:c r="I46" s="39" t="n">
        <x:v>1.15</x:v>
      </x:c>
      <x:c r="J46" s="39" t="n">
        <x:v>1.25</x:v>
      </x:c>
      <x:c r="K46" s="39" t="n">
        <x:v>1.35</x:v>
      </x:c>
      <x:c r="L46" s="39" t="n">
        <x:v>1</x:v>
      </x:c>
      <x:c r="M46" s="39" t="n">
        <x:v>0.95</x:v>
      </x:c>
      <x:c r="N46" s="39" t="n">
        <x:v>1.45</x:v>
      </x:c>
      <x:c r="O46" s="39" t="n">
        <x:f>H46*Methodology!$E$4+I46*Methodology!$E$5+J46*Methodology!$E$6+K46*Methodology!$E$7+L46*Methodology!$E$8+M46*Methodology!$E$9+N46*Methodology!$E$10</x:f>
        <x:v>1.1875</x:v>
      </x:c>
      <x:c r="P46" s="39" t="n">
        <x:f>1+(O46*2.25)</x:f>
        <x:v>3.671875</x:v>
      </x:c>
      <x:c r="Q46" s="38" t="n">
        <x:f>ROUND(P46,0)</x:f>
        <x:v>4</x:v>
      </x:c>
      <x:c r="R46" s="17" t="str">
        <x:v>Satire exposes injustice while repeatedly affirming ordinary decency.</x:v>
      </x:c>
    </x:row>
    <x:row r="47">
      <x:c r="A47" s="38" t="n">
        <x:v>4</x:v>
      </x:c>
      <x:c r="B47" s="17" t="str">
        <x:v>Dark Fantasy with Hope</x:v>
      </x:c>
      <x:c r="C47" s="17" t="str">
        <x:v>Nausicaä of the Valley of the Wind</x:v>
      </x:c>
      <x:c r="D47" s="17" t="str">
        <x:v>Film</x:v>
      </x:c>
      <x:c r="E47" s="17" t="str">
        <x:v>Studio Ghibli / Hayao Miyazaki</x:v>
      </x:c>
      <x:c r="F47" s="17" t="str">
        <x:v>No</x:v>
      </x:c>
      <x:c r="G47" s="17" t="str">
        <x:v>Yes</x:v>
      </x:c>
      <x:c r="H47" s="39" t="n">
        <x:v>1.4</x:v>
      </x:c>
      <x:c r="I47" s="39" t="n">
        <x:v>1.15</x:v>
      </x:c>
      <x:c r="J47" s="39" t="n">
        <x:v>1.2</x:v>
      </x:c>
      <x:c r="K47" s="39" t="n">
        <x:v>1.35</x:v>
      </x:c>
      <x:c r="L47" s="39" t="n">
        <x:v>1</x:v>
      </x:c>
      <x:c r="M47" s="39" t="n">
        <x:v>1.05</x:v>
      </x:c>
      <x:c r="N47" s="39" t="n">
        <x:v>1.65</x:v>
      </x:c>
      <x:c r="O47" s="39" t="n">
        <x:f>H47*Methodology!$E$4+I47*Methodology!$E$5+J47*Methodology!$E$6+K47*Methodology!$E$7+L47*Methodology!$E$8+M47*Methodology!$E$9+N47*Methodology!$E$10</x:f>
        <x:v>1.2375</x:v>
      </x:c>
      <x:c r="P47" s="39" t="n">
        <x:f>1+(O47*2.25)</x:f>
        <x:v>3.7843750000000003</x:v>
      </x:c>
      <x:c r="Q47" s="38" t="n">
        <x:f>ROUND(P47,0)</x:f>
        <x:v>4</x:v>
      </x:c>
      <x:c r="R47" s="17" t="str">
        <x:v>Ecological devastation is profound, but compassion can interrupt cycles of violence.</x:v>
      </x:c>
    </x:row>
    <x:row r="48">
      <x:c r="A48" s="38" t="n">
        <x:v>4</x:v>
      </x:c>
      <x:c r="B48" s="17" t="str">
        <x:v>Dark Fantasy with Hope</x:v>
      </x:c>
      <x:c r="C48" s="17" t="str">
        <x:v>Neverwinter Nights &amp; Baldur's Gate I–III</x:v>
      </x:c>
      <x:c r="D48" s="17" t="str">
        <x:v>Video Games</x:v>
      </x:c>
      <x:c r="E48" s="17" t="str">
        <x:v>BioWare / Black Isle / Larian</x:v>
      </x:c>
      <x:c r="F48" s="17" t="str">
        <x:v>No</x:v>
      </x:c>
      <x:c r="G48" s="17" t="str">
        <x:v>Partial</x:v>
      </x:c>
      <x:c r="H48" s="39" t="n">
        <x:v>1.25</x:v>
      </x:c>
      <x:c r="I48" s="39" t="n">
        <x:v>1.15</x:v>
      </x:c>
      <x:c r="J48" s="39" t="n">
        <x:v>1.35</x:v>
      </x:c>
      <x:c r="K48" s="39" t="n">
        <x:v>1.35</x:v>
      </x:c>
      <x:c r="L48" s="39" t="n">
        <x:v>1</x:v>
      </x:c>
      <x:c r="M48" s="39" t="n">
        <x:v>1.05</x:v>
      </x:c>
      <x:c r="N48" s="39" t="n">
        <x:v>1.65</x:v>
      </x:c>
      <x:c r="O48" s="39" t="n">
        <x:f>H48*Methodology!$E$4+I48*Methodology!$E$5+J48*Methodology!$E$6+K48*Methodology!$E$7+L48*Methodology!$E$8+M48*Methodology!$E$9+N48*Methodology!$E$10</x:f>
        <x:v>1.2375</x:v>
      </x:c>
      <x:c r="P48" s="39" t="n">
        <x:f>1+(O48*2.25)</x:f>
        <x:v>3.7843750000000003</x:v>
      </x:c>
      <x:c r="Q48" s="38" t="n">
        <x:f>ROUND(P48,0)</x:f>
        <x:v>4</x:v>
      </x:c>
      <x:c r="R48" s="17" t="str">
        <x:v>Moral ambiguity and horror increase across the games, but player heroism remains effective.</x:v>
      </x:c>
    </x:row>
    <x:row r="49">
      <x:c r="A49" s="38" t="n">
        <x:v>4</x:v>
      </x:c>
      <x:c r="B49" s="17" t="str">
        <x:v>Dark Fantasy with Hope</x:v>
      </x:c>
      <x:c r="C49" s="17" t="str">
        <x:v>Ranking of Kings</x:v>
      </x:c>
      <x:c r="D49" s="17" t="str">
        <x:v>Manga / Anime</x:v>
      </x:c>
      <x:c r="E49" s="17" t="str">
        <x:v>Sōsuke Tōka</x:v>
      </x:c>
      <x:c r="F49" s="17" t="str">
        <x:v>No</x:v>
      </x:c>
      <x:c r="G49" s="17" t="str">
        <x:v>Yes</x:v>
      </x:c>
      <x:c r="H49" s="39" t="n">
        <x:v>1.25</x:v>
      </x:c>
      <x:c r="I49" s="39" t="n">
        <x:v>1.15</x:v>
      </x:c>
      <x:c r="J49" s="39" t="n">
        <x:v>1.3</x:v>
      </x:c>
      <x:c r="K49" s="39" t="n">
        <x:v>1.35</x:v>
      </x:c>
      <x:c r="L49" s="39" t="n">
        <x:v>0.9</x:v>
      </x:c>
      <x:c r="M49" s="39" t="n">
        <x:v>1.05</x:v>
      </x:c>
      <x:c r="N49" s="39" t="n">
        <x:v>1.45</x:v>
      </x:c>
      <x:c r="O49" s="39" t="n">
        <x:f>H49*Methodology!$E$4+I49*Methodology!$E$5+J49*Methodology!$E$6+K49*Methodology!$E$7+L49*Methodology!$E$8+M49*Methodology!$E$9+N49*Methodology!$E$10</x:f>
        <x:v>1.195</x:v>
      </x:c>
      <x:c r="P49" s="39" t="n">
        <x:f>1+(O49*2.25)</x:f>
        <x:v>3.68875</x:v>
      </x:c>
      <x:c r="Q49" s="38" t="n">
        <x:f>ROUND(P49,0)</x:f>
        <x:v>4</x:v>
      </x:c>
      <x:c r="R49" s="17" t="str">
        <x:v>Cruel institutions and betrayal coexist with radical empathy and forgiveness.</x:v>
      </x:c>
    </x:row>
    <x:row r="50">
      <x:c r="A50" s="38" t="n">
        <x:v>4</x:v>
      </x:c>
      <x:c r="B50" s="17" t="str">
        <x:v>Dark Fantasy with Hope</x:v>
      </x:c>
      <x:c r="C50" s="17" t="str">
        <x:v>The Dark Elf / Drizzt</x:v>
      </x:c>
      <x:c r="D50" s="17" t="str">
        <x:v>Novels</x:v>
      </x:c>
      <x:c r="E50" s="17" t="str">
        <x:v>R. A. Salvatore</x:v>
      </x:c>
      <x:c r="F50" s="17" t="str">
        <x:v>No</x:v>
      </x:c>
      <x:c r="G50" s="17" t="str">
        <x:v>Yes</x:v>
      </x:c>
      <x:c r="H50" s="39" t="n">
        <x:v>1.25</x:v>
      </x:c>
      <x:c r="I50" s="39" t="n">
        <x:v>1.15</x:v>
      </x:c>
      <x:c r="J50" s="39" t="n">
        <x:v>1.2</x:v>
      </x:c>
      <x:c r="K50" s="39" t="n">
        <x:v>1.55</x:v>
      </x:c>
      <x:c r="L50" s="39" t="n">
        <x:v>1</x:v>
      </x:c>
      <x:c r="M50" s="39" t="n">
        <x:v>1.05</x:v>
      </x:c>
      <x:c r="N50" s="39" t="n">
        <x:v>1.6</x:v>
      </x:c>
      <x:c r="O50" s="39" t="n">
        <x:f>H50*Methodology!$E$4+I50*Methodology!$E$5+J50*Methodology!$E$6+K50*Methodology!$E$7+L50*Methodology!$E$8+M50*Methodology!$E$9+N50*Methodology!$E$10</x:f>
        <x:v>1.2400000000000002</x:v>
      </x:c>
      <x:c r="P50" s="39" t="n">
        <x:f>1+(O50*2.25)</x:f>
        <x:v>3.7900000000000005</x:v>
      </x:c>
      <x:c r="Q50" s="38" t="n">
        <x:f>ROUND(P50,0)</x:f>
        <x:v>4</x:v>
      </x:c>
      <x:c r="R50" s="17" t="str">
        <x:v>A brutal culture is countered by sustained moral resistance and chosen community.</x:v>
      </x:c>
    </x:row>
    <x:row r="51">
      <x:c r="A51" s="38" t="n">
        <x:v>4</x:v>
      </x:c>
      <x:c r="B51" s="17" t="str">
        <x:v>Dark Fantasy with Hope</x:v>
      </x:c>
      <x:c r="C51" s="17" t="str">
        <x:v>The Legend of Korra</x:v>
      </x:c>
      <x:c r="D51" s="17" t="str">
        <x:v>TV / Novels / Comics</x:v>
      </x:c>
      <x:c r="E51" s="17" t="str">
        <x:v>Michael Dante DiMartino / Bryan Konietzko</x:v>
      </x:c>
      <x:c r="F51" s="17" t="str">
        <x:v>No</x:v>
      </x:c>
      <x:c r="G51" s="17" t="str">
        <x:v>Partial</x:v>
      </x:c>
      <x:c r="H51" s="39" t="n">
        <x:v>1.25</x:v>
      </x:c>
      <x:c r="I51" s="39" t="n">
        <x:v>1.15</x:v>
      </x:c>
      <x:c r="J51" s="39" t="n">
        <x:v>1.3</x:v>
      </x:c>
      <x:c r="K51" s="39" t="n">
        <x:v>1.6</x:v>
      </x:c>
      <x:c r="L51" s="39" t="n">
        <x:v>1</x:v>
      </x:c>
      <x:c r="M51" s="39" t="n">
        <x:v>1.05</x:v>
      </x:c>
      <x:c r="N51" s="39" t="n">
        <x:v>1.45</x:v>
      </x:c>
      <x:c r="O51" s="39" t="n">
        <x:f>H51*Methodology!$E$4+I51*Methodology!$E$5+J51*Methodology!$E$6+K51*Methodology!$E$7+L51*Methodology!$E$8+M51*Methodology!$E$9+N51*Methodology!$E$10</x:f>
        <x:v>1.2475</x:v>
      </x:c>
      <x:c r="P51" s="39" t="n">
        <x:f>1+(O51*2.25)</x:f>
        <x:v>3.8068750000000002</x:v>
      </x:c>
      <x:c r="Q51" s="38" t="n">
        <x:f>ROUND(P51,0)</x:f>
        <x:v>4</x:v>
      </x:c>
      <x:c r="R51" s="17" t="str">
        <x:v>Political instability and trauma are heavier than in its predecessor.</x:v>
      </x:c>
    </x:row>
    <x:row r="52">
      <x:c r="A52" s="38" t="n">
        <x:v>4</x:v>
      </x:c>
      <x:c r="B52" s="17" t="str">
        <x:v>Dark Fantasy with Hope</x:v>
      </x:c>
      <x:c r="C52" s="17" t="str">
        <x:v>The Wheel of Time</x:v>
      </x:c>
      <x:c r="D52" s="17" t="str">
        <x:v>Novels / TV</x:v>
      </x:c>
      <x:c r="E52" s="17" t="str">
        <x:v>Robert Jordan / Brandon Sanderson</x:v>
      </x:c>
      <x:c r="F52" s="17" t="str">
        <x:v>No</x:v>
      </x:c>
      <x:c r="G52" s="17" t="str">
        <x:v>Yes</x:v>
      </x:c>
      <x:c r="H52" s="39" t="n">
        <x:v>1.4</x:v>
      </x:c>
      <x:c r="I52" s="39" t="n">
        <x:v>1.15</x:v>
      </x:c>
      <x:c r="J52" s="39" t="n">
        <x:v>1.2</x:v>
      </x:c>
      <x:c r="K52" s="39" t="n">
        <x:v>1.35</x:v>
      </x:c>
      <x:c r="L52" s="39" t="n">
        <x:v>1</x:v>
      </x:c>
      <x:c r="M52" s="39" t="n">
        <x:v>1.05</x:v>
      </x:c>
      <x:c r="N52" s="39" t="n">
        <x:v>1.6</x:v>
      </x:c>
      <x:c r="O52" s="39" t="n">
        <x:f>H52*Methodology!$E$4+I52*Methodology!$E$5+J52*Methodology!$E$6+K52*Methodology!$E$7+L52*Methodology!$E$8+M52*Methodology!$E$9+N52*Methodology!$E$10</x:f>
        <x:v>1.2325</x:v>
      </x:c>
      <x:c r="P52" s="39" t="n">
        <x:f>1+(O52*2.25)</x:f>
        <x:v>3.773125</x:v>
      </x:c>
      <x:c r="Q52" s="38" t="n">
        <x:f>ROUND(P52,0)</x:f>
        <x:v>4</x:v>
      </x:c>
      <x:c r="R52" s="17" t="str">
        <x:v>Cosmic threat and social fracture culminate in meaningful heroic victory.</x:v>
      </x:c>
    </x:row>
    <x:row r="53">
      <x:c r="A53" s="38" t="n">
        <x:v>4</x:v>
      </x:c>
      <x:c r="B53" s="17" t="str">
        <x:v>Dark Fantasy with Hope</x:v>
      </x:c>
      <x:c r="C53" s="17" t="str">
        <x:v>Princess Mononoke</x:v>
      </x:c>
      <x:c r="D53" s="17" t="str">
        <x:v>Film</x:v>
      </x:c>
      <x:c r="E53" s="17" t="str">
        <x:v>Studio Ghibli / Hayao Miyazaki</x:v>
      </x:c>
      <x:c r="F53" s="17" t="str">
        <x:v>No</x:v>
      </x:c>
      <x:c r="G53" s="17" t="str">
        <x:v>Partial</x:v>
      </x:c>
      <x:c r="H53" s="39" t="n">
        <x:v>1.25</x:v>
      </x:c>
      <x:c r="I53" s="39" t="n">
        <x:v>1.15</x:v>
      </x:c>
      <x:c r="J53" s="39" t="n">
        <x:v>1.35</x:v>
      </x:c>
      <x:c r="K53" s="39" t="n">
        <x:v>1.35</x:v>
      </x:c>
      <x:c r="L53" s="39" t="n">
        <x:v>1</x:v>
      </x:c>
      <x:c r="M53" s="39" t="n">
        <x:v>1.05</x:v>
      </x:c>
      <x:c r="N53" s="39" t="n">
        <x:v>1.65</x:v>
      </x:c>
      <x:c r="O53" s="39" t="n">
        <x:f>H53*Methodology!$E$4+I53*Methodology!$E$5+J53*Methodology!$E$6+K53*Methodology!$E$7+L53*Methodology!$E$8+M53*Methodology!$E$9+N53*Methodology!$E$10</x:f>
        <x:v>1.2375</x:v>
      </x:c>
      <x:c r="P53" s="39" t="n">
        <x:f>1+(O53*2.25)</x:f>
        <x:v>3.7843750000000003</x:v>
      </x:c>
      <x:c r="Q53" s="38" t="n">
        <x:f>ROUND(P53,0)</x:f>
        <x:v>4</x:v>
      </x:c>
      <x:c r="R53" s="17" t="str">
        <x:v>Violence and competing interests resist simple resolution, but coexistence remains possible.</x:v>
      </x:c>
    </x:row>
    <x:row r="54">
      <x:c r="A54" s="38" t="n">
        <x:v>5</x:v>
      </x:c>
      <x:c r="B54" s="17" t="str">
        <x:v>Gloomy Fantasy</x:v>
      </x:c>
      <x:c r="C54" s="17" t="str">
        <x:v>The Kingkiller Chronicle</x:v>
      </x:c>
      <x:c r="D54" s="17" t="str">
        <x:v>Novels</x:v>
      </x:c>
      <x:c r="E54" s="17" t="str">
        <x:v>Patrick Rothfuss</x:v>
      </x:c>
      <x:c r="F54" s="17" t="str">
        <x:v>No</x:v>
      </x:c>
      <x:c r="G54" s="17" t="str">
        <x:v>Partial</x:v>
      </x:c>
      <x:c r="H54" s="39" t="n">
        <x:v>1.85</x:v>
      </x:c>
      <x:c r="I54" s="39" t="n">
        <x:v>1.6</x:v>
      </x:c>
      <x:c r="J54" s="39" t="n">
        <x:v>1.85</x:v>
      </x:c>
      <x:c r="K54" s="39" t="n">
        <x:v>1.85</x:v>
      </x:c>
      <x:c r="L54" s="39" t="n">
        <x:v>1.45</x:v>
      </x:c>
      <x:c r="M54" s="39" t="n">
        <x:v>1.5</x:v>
      </x:c>
      <x:c r="N54" s="39" t="n">
        <x:v>2.05</x:v>
      </x:c>
      <x:c r="O54" s="39" t="n">
        <x:f>H54*Methodology!$E$4+I54*Methodology!$E$5+J54*Methodology!$E$6+K54*Methodology!$E$7+L54*Methodology!$E$8+M54*Methodology!$E$9+N54*Methodology!$E$10</x:f>
        <x:v>1.7200000000000002</x:v>
      </x:c>
      <x:c r="P54" s="39" t="n">
        <x:f>1+(O54*2.25)</x:f>
        <x:v>4.870000000000001</x:v>
      </x:c>
      <x:c r="Q54" s="38" t="n">
        <x:f>ROUND(P54,0)</x:f>
        <x:v>5</x:v>
      </x:c>
      <x:c r="R54" s="17" t="str">
        <x:v>A tragic frame and institutional indifference undercut heroic self-mythology.</x:v>
      </x:c>
    </x:row>
    <x:row r="55">
      <x:c r="A55" s="38" t="n">
        <x:v>5</x:v>
      </x:c>
      <x:c r="B55" s="17" t="str">
        <x:v>Gloomy Fantasy</x:v>
      </x:c>
      <x:c r="C55" s="17" t="str">
        <x:v>Tales from Earthsea</x:v>
      </x:c>
      <x:c r="D55" s="17" t="str">
        <x:v>Film</x:v>
      </x:c>
      <x:c r="E55" s="17" t="str">
        <x:v>Studio Ghibli / Gorō Miyazaki</x:v>
      </x:c>
      <x:c r="F55" s="17" t="str">
        <x:v>No</x:v>
      </x:c>
      <x:c r="G55" s="17" t="str">
        <x:v>Partial</x:v>
      </x:c>
      <x:c r="H55" s="39" t="n">
        <x:v>1.85</x:v>
      </x:c>
      <x:c r="I55" s="39" t="n">
        <x:v>1.6</x:v>
      </x:c>
      <x:c r="J55" s="39" t="n">
        <x:v>1.65</x:v>
      </x:c>
      <x:c r="K55" s="39" t="n">
        <x:v>1.85</x:v>
      </x:c>
      <x:c r="L55" s="39" t="n">
        <x:v>1.45</x:v>
      </x:c>
      <x:c r="M55" s="39" t="n">
        <x:v>1.5</x:v>
      </x:c>
      <x:c r="N55" s="39" t="n">
        <x:v>2.15</x:v>
      </x:c>
      <x:c r="O55" s="39" t="n">
        <x:f>H55*Methodology!$E$4+I55*Methodology!$E$5+J55*Methodology!$E$6+K55*Methodology!$E$7+L55*Methodology!$E$8+M55*Methodology!$E$9+N55*Methodology!$E$10</x:f>
        <x:v>1.7</x:v>
      </x:c>
      <x:c r="P55" s="39" t="n">
        <x:f>1+(O55*2.25)</x:f>
        <x:v>4.824999999999999</x:v>
      </x:c>
      <x:c r="Q55" s="38" t="n">
        <x:f>ROUND(P55,0)</x:f>
        <x:v>5</x:v>
      </x:c>
      <x:c r="R55" s="17" t="str">
        <x:v>Fear, murder and imbalance create a notably darker tone than the novels.</x:v>
      </x:c>
    </x:row>
    <x:row r="56">
      <x:c r="A56" s="38" t="n">
        <x:v>5</x:v>
      </x:c>
      <x:c r="B56" s="17" t="str">
        <x:v>Gloomy Fantasy</x:v>
      </x:c>
      <x:c r="C56" s="17" t="str">
        <x:v>Final Fantasy VI</x:v>
      </x:c>
      <x:c r="D56" s="17" t="str">
        <x:v>Video Game</x:v>
      </x:c>
      <x:c r="E56" s="17" t="str">
        <x:v>Square</x:v>
      </x:c>
      <x:c r="F56" s="17" t="str">
        <x:v>No</x:v>
      </x:c>
      <x:c r="G56" s="17" t="str">
        <x:v>Partial</x:v>
      </x:c>
      <x:c r="H56" s="39" t="n">
        <x:v>2</x:v>
      </x:c>
      <x:c r="I56" s="39" t="n">
        <x:v>1.6</x:v>
      </x:c>
      <x:c r="J56" s="39" t="n">
        <x:v>1.65</x:v>
      </x:c>
      <x:c r="K56" s="39" t="n">
        <x:v>1.85</x:v>
      </x:c>
      <x:c r="L56" s="39" t="n">
        <x:v>1.45</x:v>
      </x:c>
      <x:c r="M56" s="39" t="n">
        <x:v>1.5</x:v>
      </x:c>
      <x:c r="N56" s="39" t="n">
        <x:v>2.25</x:v>
      </x:c>
      <x:c r="O56" s="39" t="n">
        <x:f>H56*Methodology!$E$4+I56*Methodology!$E$5+J56*Methodology!$E$6+K56*Methodology!$E$7+L56*Methodology!$E$8+M56*Methodology!$E$9+N56*Methodology!$E$10</x:f>
        <x:v>1.7325</x:v>
      </x:c>
      <x:c r="P56" s="39" t="n">
        <x:f>1+(O56*2.25)</x:f>
        <x:v>4.898125</x:v>
      </x:c>
      <x:c r="Q56" s="38" t="n">
        <x:f>ROUND(P56,0)</x:f>
        <x:v>5</x:v>
      </x:c>
      <x:c r="R56" s="17" t="str">
        <x:v>The villain wins temporarily and the world is broken, yet rebuilding remains possible.</x:v>
      </x:c>
    </x:row>
    <x:row r="57">
      <x:c r="A57" s="38" t="n">
        <x:v>5</x:v>
      </x:c>
      <x:c r="B57" s="17" t="str">
        <x:v>Gloomy Fantasy</x:v>
      </x:c>
      <x:c r="C57" s="17" t="str">
        <x:v>Final Fantasy VII</x:v>
      </x:c>
      <x:c r="D57" s="17" t="str">
        <x:v>Video Games / Remake Project</x:v>
      </x:c>
      <x:c r="E57" s="17" t="str">
        <x:v>Square / Square Enix</x:v>
      </x:c>
      <x:c r="F57" s="17" t="str">
        <x:v>No</x:v>
      </x:c>
      <x:c r="G57" s="17" t="str">
        <x:v>Partial</x:v>
      </x:c>
      <x:c r="H57" s="39" t="n">
        <x:v>1.7</x:v>
      </x:c>
      <x:c r="I57" s="39" t="n">
        <x:v>1.6</x:v>
      </x:c>
      <x:c r="J57" s="39" t="n">
        <x:v>1.65</x:v>
      </x:c>
      <x:c r="K57" s="39" t="n">
        <x:v>2.15</x:v>
      </x:c>
      <x:c r="L57" s="39" t="n">
        <x:v>1.45</x:v>
      </x:c>
      <x:c r="M57" s="39" t="n">
        <x:v>1.5</x:v>
      </x:c>
      <x:c r="N57" s="39" t="n">
        <x:v>2.3</x:v>
      </x:c>
      <x:c r="O57" s="39" t="n">
        <x:f>H57*Methodology!$E$4+I57*Methodology!$E$5+J57*Methodology!$E$6+K57*Methodology!$E$7+L57*Methodology!$E$8+M57*Methodology!$E$9+N57*Methodology!$E$10</x:f>
        <x:v>1.7374999999999998</x:v>
      </x:c>
      <x:c r="P57" s="39" t="n">
        <x:f>1+(O57*2.25)</x:f>
        <x:v>4.909375</x:v>
      </x:c>
      <x:c r="Q57" s="38" t="n">
        <x:f>ROUND(P57,0)</x:f>
        <x:v>5</x:v>
      </x:c>
      <x:c r="R57" s="17" t="str">
        <x:v>Corporate extraction, experimentation and planetary crisis make the world structurally bleak.</x:v>
      </x:c>
    </x:row>
    <x:row r="58">
      <x:c r="A58" s="38" t="n">
        <x:v>5</x:v>
      </x:c>
      <x:c r="B58" s="17" t="str">
        <x:v>Gloomy Fantasy</x:v>
      </x:c>
      <x:c r="C58" s="17" t="str">
        <x:v>Final Fantasy X</x:v>
      </x:c>
      <x:c r="D58" s="17" t="str">
        <x:v>Video Game</x:v>
      </x:c>
      <x:c r="E58" s="17" t="str">
        <x:v>Square</x:v>
      </x:c>
      <x:c r="F58" s="17" t="str">
        <x:v>No</x:v>
      </x:c>
      <x:c r="G58" s="17" t="str">
        <x:v>Partial</x:v>
      </x:c>
      <x:c r="H58" s="39" t="n">
        <x:v>1.9</x:v>
      </x:c>
      <x:c r="I58" s="39" t="n">
        <x:v>1.6</x:v>
      </x:c>
      <x:c r="J58" s="39" t="n">
        <x:v>1.65</x:v>
      </x:c>
      <x:c r="K58" s="39" t="n">
        <x:v>2.05</x:v>
      </x:c>
      <x:c r="L58" s="39" t="n">
        <x:v>1.45</x:v>
      </x:c>
      <x:c r="M58" s="39" t="n">
        <x:v>1.5</x:v>
      </x:c>
      <x:c r="N58" s="39" t="n">
        <x:v>2.05</x:v>
      </x:c>
      <x:c r="O58" s="39" t="n">
        <x:f>H58*Methodology!$E$4+I58*Methodology!$E$5+J58*Methodology!$E$6+K58*Methodology!$E$7+L58*Methodology!$E$8+M58*Methodology!$E$9+N58*Methodology!$E$10</x:f>
        <x:v>1.7275</x:v>
      </x:c>
      <x:c r="P58" s="39" t="n">
        <x:f>1+(O58*2.25)</x:f>
        <x:v>4.886875</x:v>
      </x:c>
      <x:c r="Q58" s="38" t="n">
        <x:f>ROUND(P58,0)</x:f>
        <x:v>5</x:v>
      </x:c>
      <x:c r="R58" s="17" t="str">
        <x:v>A death-based religious order is dismantled through costly resistance.</x:v>
      </x:c>
    </x:row>
    <x:row r="59">
      <x:c r="A59" s="38" t="n">
        <x:v>5</x:v>
      </x:c>
      <x:c r="B59" s="17" t="str">
        <x:v>Gloomy Fantasy</x:v>
      </x:c>
      <x:c r="C59" s="17" t="str">
        <x:v>Final Fantasy XV</x:v>
      </x:c>
      <x:c r="D59" s="17" t="str">
        <x:v>Video Game</x:v>
      </x:c>
      <x:c r="E59" s="17" t="str">
        <x:v>Square Enix</x:v>
      </x:c>
      <x:c r="F59" s="17" t="str">
        <x:v>No</x:v>
      </x:c>
      <x:c r="G59" s="17" t="str">
        <x:v>Partial</x:v>
      </x:c>
      <x:c r="H59" s="39" t="n">
        <x:v>1.95</x:v>
      </x:c>
      <x:c r="I59" s="39" t="n">
        <x:v>1.6</x:v>
      </x:c>
      <x:c r="J59" s="39" t="n">
        <x:v>1.65</x:v>
      </x:c>
      <x:c r="K59" s="39" t="n">
        <x:v>1.85</x:v>
      </x:c>
      <x:c r="L59" s="39" t="n">
        <x:v>1.45</x:v>
      </x:c>
      <x:c r="M59" s="39" t="n">
        <x:v>1.5</x:v>
      </x:c>
      <x:c r="N59" s="39" t="n">
        <x:v>2.25</x:v>
      </x:c>
      <x:c r="O59" s="39" t="n">
        <x:f>H59*Methodology!$E$4+I59*Methodology!$E$5+J59*Methodology!$E$6+K59*Methodology!$E$7+L59*Methodology!$E$8+M59*Methodology!$E$9+N59*Methodology!$E$10</x:f>
        <x:v>1.725</x:v>
      </x:c>
      <x:c r="P59" s="39" t="n">
        <x:f>1+(O59*2.25)</x:f>
        <x:v>4.88125</x:v>
      </x:c>
      <x:c r="Q59" s="38" t="n">
        <x:f>ROUND(P59,0)</x:f>
        <x:v>5</x:v>
      </x:c>
      <x:c r="R59" s="17" t="str">
        <x:v>Loss, occupation and sacrificial kingship make victory deeply bittersweet.</x:v>
      </x:c>
    </x:row>
    <x:row r="60">
      <x:c r="A60" s="38" t="n">
        <x:v>5</x:v>
      </x:c>
      <x:c r="B60" s="17" t="str">
        <x:v>Gloomy Fantasy</x:v>
      </x:c>
      <x:c r="C60" s="17" t="str">
        <x:v>Fullmetal Alchemist (2003)</x:v>
      </x:c>
      <x:c r="D60" s="17" t="str">
        <x:v>Anime</x:v>
      </x:c>
      <x:c r="E60" s="17" t="str">
        <x:v>Hiromu Arakawa / Bones</x:v>
      </x:c>
      <x:c r="F60" s="17" t="str">
        <x:v>No</x:v>
      </x:c>
      <x:c r="G60" s="17" t="str">
        <x:v>Partial</x:v>
      </x:c>
      <x:c r="H60" s="39" t="n">
        <x:v>1.95</x:v>
      </x:c>
      <x:c r="I60" s="39" t="n">
        <x:v>1.6</x:v>
      </x:c>
      <x:c r="J60" s="39" t="n">
        <x:v>1.65</x:v>
      </x:c>
      <x:c r="K60" s="39" t="n">
        <x:v>1.85</x:v>
      </x:c>
      <x:c r="L60" s="39" t="n">
        <x:v>1.65</x:v>
      </x:c>
      <x:c r="M60" s="39" t="n">
        <x:v>1.5</x:v>
      </x:c>
      <x:c r="N60" s="39" t="n">
        <x:v>2.25</x:v>
      </x:c>
      <x:c r="O60" s="39" t="n">
        <x:f>H60*Methodology!$E$4+I60*Methodology!$E$5+J60*Methodology!$E$6+K60*Methodology!$E$7+L60*Methodology!$E$8+M60*Methodology!$E$9+N60*Methodology!$E$10</x:f>
        <x:v>1.755</x:v>
      </x:c>
      <x:c r="P60" s="39" t="n">
        <x:f>1+(O60*2.25)</x:f>
        <x:v>4.9487499999999995</x:v>
      </x:c>
      <x:c r="Q60" s="38" t="n">
        <x:f>ROUND(P60,0)</x:f>
        <x:v>5</x:v>
      </x:c>
      <x:c r="R60" s="17" t="str">
        <x:v>The adaptation emphasizes irreversible loss and moral uncertainty.</x:v>
      </x:c>
    </x:row>
    <x:row r="61">
      <x:c r="A61" s="38" t="n">
        <x:v>5</x:v>
      </x:c>
      <x:c r="B61" s="17" t="str">
        <x:v>Gloomy Fantasy</x:v>
      </x:c>
      <x:c r="C61" s="17" t="str">
        <x:v>Grimgar: Ashes and Illusions</x:v>
      </x:c>
      <x:c r="D61" s="17" t="str">
        <x:v>Light Novels / Anime</x:v>
      </x:c>
      <x:c r="E61" s="17" t="str">
        <x:v>Ao Jyumonji</x:v>
      </x:c>
      <x:c r="F61" s="17" t="str">
        <x:v>No</x:v>
      </x:c>
      <x:c r="G61" s="17" t="str">
        <x:v>Partial</x:v>
      </x:c>
      <x:c r="H61" s="39" t="n">
        <x:v>1.9</x:v>
      </x:c>
      <x:c r="I61" s="39" t="n">
        <x:v>1.75</x:v>
      </x:c>
      <x:c r="J61" s="39" t="n">
        <x:v>1.65</x:v>
      </x:c>
      <x:c r="K61" s="39" t="n">
        <x:v>1.85</x:v>
      </x:c>
      <x:c r="L61" s="39" t="n">
        <x:v>1.45</x:v>
      </x:c>
      <x:c r="M61" s="39" t="n">
        <x:v>1.5</x:v>
      </x:c>
      <x:c r="N61" s="39" t="n">
        <x:v>2.05</x:v>
      </x:c>
      <x:c r="O61" s="39" t="n">
        <x:f>H61*Methodology!$E$4+I61*Methodology!$E$5+J61*Methodology!$E$6+K61*Methodology!$E$7+L61*Methodology!$E$8+M61*Methodology!$E$9+N61*Methodology!$E$10</x:f>
        <x:v>1.7200000000000002</x:v>
      </x:c>
      <x:c r="P61" s="39" t="n">
        <x:f>1+(O61*2.25)</x:f>
        <x:v>4.870000000000001</x:v>
      </x:c>
      <x:c r="Q61" s="38" t="n">
        <x:f>ROUND(P61,0)</x:f>
        <x:v>5</x:v>
      </x:c>
      <x:c r="R61" s="17" t="str">
        <x:v>Survival is fragile and victories remain local, though companionship matters.</x:v>
      </x:c>
    </x:row>
    <x:row r="62">
      <x:c r="A62" s="38" t="n">
        <x:v>5</x:v>
      </x:c>
      <x:c r="B62" s="17" t="str">
        <x:v>Gloomy Fantasy</x:v>
      </x:c>
      <x:c r="C62" s="17" t="str">
        <x:v>The Elder Scrolls V: Skyrim</x:v>
      </x:c>
      <x:c r="D62" s="17" t="str">
        <x:v>Video Game</x:v>
      </x:c>
      <x:c r="E62" s="17" t="str">
        <x:v>Bethesda Game Studios</x:v>
      </x:c>
      <x:c r="F62" s="17" t="str">
        <x:v>No</x:v>
      </x:c>
      <x:c r="G62" s="17" t="str">
        <x:v>Partial</x:v>
      </x:c>
      <x:c r="H62" s="39" t="n">
        <x:v>1.7</x:v>
      </x:c>
      <x:c r="I62" s="39" t="n">
        <x:v>1.6</x:v>
      </x:c>
      <x:c r="J62" s="39" t="n">
        <x:v>1.8</x:v>
      </x:c>
      <x:c r="K62" s="39" t="n">
        <x:v>2.05</x:v>
      </x:c>
      <x:c r="L62" s="39" t="n">
        <x:v>1.45</x:v>
      </x:c>
      <x:c r="M62" s="39" t="n">
        <x:v>1.5</x:v>
      </x:c>
      <x:c r="N62" s="39" t="n">
        <x:v>2.05</x:v>
      </x:c>
      <x:c r="O62" s="39" t="n">
        <x:f>H62*Methodology!$E$4+I62*Methodology!$E$5+J62*Methodology!$E$6+K62*Methodology!$E$7+L62*Methodology!$E$8+M62*Methodology!$E$9+N62*Methodology!$E$10</x:f>
        <x:v>1.7200000000000002</x:v>
      </x:c>
      <x:c r="P62" s="39" t="n">
        <x:f>1+(O62*2.25)</x:f>
        <x:v>4.870000000000001</x:v>
      </x:c>
      <x:c r="Q62" s="38" t="n">
        <x:f>ROUND(P62,0)</x:f>
        <x:v>5</x:v>
      </x:c>
      <x:c r="R62" s="17" t="str">
        <x:v>War, decay and ancient threats coexist with highly effective player agency.</x:v>
      </x:c>
    </x:row>
    <x:row r="63">
      <x:c r="A63" s="38" t="n">
        <x:v>6</x:v>
      </x:c>
      <x:c r="B63" s="17" t="str">
        <x:v>Dark Fantasy</x:v>
      </x:c>
      <x:c r="C63" s="17" t="str">
        <x:v>Claymore</x:v>
      </x:c>
      <x:c r="D63" s="17" t="str">
        <x:v>Manga / Anime</x:v>
      </x:c>
      <x:c r="E63" s="17" t="str">
        <x:v>Norihiro Yagi</x:v>
      </x:c>
      <x:c r="F63" s="17" t="str">
        <x:v>No</x:v>
      </x:c>
      <x:c r="G63" s="17" t="str">
        <x:v>Partial</x:v>
      </x:c>
      <x:c r="H63" s="39" t="n">
        <x:v>2.4</x:v>
      </x:c>
      <x:c r="I63" s="39" t="n">
        <x:v>2.1</x:v>
      </x:c>
      <x:c r="J63" s="39" t="n">
        <x:v>2.15</x:v>
      </x:c>
      <x:c r="K63" s="39" t="n">
        <x:v>2.3</x:v>
      </x:c>
      <x:c r="L63" s="39" t="n">
        <x:v>2</x:v>
      </x:c>
      <x:c r="M63" s="39" t="n">
        <x:v>2.05</x:v>
      </x:c>
      <x:c r="N63" s="39" t="n">
        <x:v>2.9</x:v>
      </x:c>
      <x:c r="O63" s="39" t="n">
        <x:f>H63*Methodology!$E$4+I63*Methodology!$E$5+J63*Methodology!$E$6+K63*Methodology!$E$7+L63*Methodology!$E$8+M63*Methodology!$E$9+N63*Methodology!$E$10</x:f>
        <x:v>2.2399999999999998</x:v>
      </x:c>
      <x:c r="P63" s="39" t="n">
        <x:f>1+(O63*2.25)</x:f>
        <x:v>6.039999999999999</x:v>
      </x:c>
      <x:c r="Q63" s="38" t="n">
        <x:f>ROUND(P63,0)</x:f>
        <x:v>6</x:v>
      </x:c>
      <x:c r="R63" s="17" t="str">
        <x:v>Body horror, exploitation and fragile identity define the setting.</x:v>
      </x:c>
    </x:row>
    <x:row r="64">
      <x:c r="A64" s="38" t="n">
        <x:v>6</x:v>
      </x:c>
      <x:c r="B64" s="17" t="str">
        <x:v>Dark Fantasy</x:v>
      </x:c>
      <x:c r="C64" s="17" t="str">
        <x:v>Final Fantasy XVI</x:v>
      </x:c>
      <x:c r="D64" s="17" t="str">
        <x:v>Video Game</x:v>
      </x:c>
      <x:c r="E64" s="17" t="str">
        <x:v>Square Enix</x:v>
      </x:c>
      <x:c r="F64" s="17" t="str">
        <x:v>No</x:v>
      </x:c>
      <x:c r="G64" s="17" t="str">
        <x:v>Partial</x:v>
      </x:c>
      <x:c r="H64" s="39" t="n">
        <x:v>2.2</x:v>
      </x:c>
      <x:c r="I64" s="39" t="n">
        <x:v>2.1</x:v>
      </x:c>
      <x:c r="J64" s="39" t="n">
        <x:v>2.15</x:v>
      </x:c>
      <x:c r="K64" s="39" t="n">
        <x:v>2.6</x:v>
      </x:c>
      <x:c r="L64" s="39" t="n">
        <x:v>2</x:v>
      </x:c>
      <x:c r="M64" s="39" t="n">
        <x:v>2.05</x:v>
      </x:c>
      <x:c r="N64" s="39" t="n">
        <x:v>2.85</x:v>
      </x:c>
      <x:c r="O64" s="39" t="n">
        <x:f>H64*Methodology!$E$4+I64*Methodology!$E$5+J64*Methodology!$E$6+K64*Methodology!$E$7+L64*Methodology!$E$8+M64*Methodology!$E$9+N64*Methodology!$E$10</x:f>
        <x:v>2.25</x:v>
      </x:c>
      <x:c r="P64" s="39" t="n">
        <x:f>1+(O64*2.25)</x:f>
        <x:v>6.0625</x:v>
      </x:c>
      <x:c r="Q64" s="38" t="n">
        <x:f>ROUND(P64,0)</x:f>
        <x:v>6</x:v>
      </x:c>
      <x:c r="R64" s="17" t="str">
        <x:v>Slavery, war and resource collapse produce the franchise's darkest mainstream world.</x:v>
      </x:c>
    </x:row>
    <x:row r="65">
      <x:c r="A65" s="38" t="n">
        <x:v>6</x:v>
      </x:c>
      <x:c r="B65" s="17" t="str">
        <x:v>Dark Fantasy</x:v>
      </x:c>
      <x:c r="C65" s="17" t="str">
        <x:v>Goblin Slayer</x:v>
      </x:c>
      <x:c r="D65" s="17" t="str">
        <x:v>Light Novels / Manga / Anime</x:v>
      </x:c>
      <x:c r="E65" s="17" t="str">
        <x:v>Kumo Kagyu</x:v>
      </x:c>
      <x:c r="F65" s="17" t="str">
        <x:v>No</x:v>
      </x:c>
      <x:c r="G65" s="17" t="str">
        <x:v>Partial</x:v>
      </x:c>
      <x:c r="H65" s="39" t="n">
        <x:v>2.2</x:v>
      </x:c>
      <x:c r="I65" s="39" t="n">
        <x:v>2</x:v>
      </x:c>
      <x:c r="J65" s="39" t="n">
        <x:v>2.15</x:v>
      </x:c>
      <x:c r="K65" s="39" t="n">
        <x:v>2.3</x:v>
      </x:c>
      <x:c r="L65" s="39" t="n">
        <x:v>2</x:v>
      </x:c>
      <x:c r="M65" s="39" t="n">
        <x:v>2.05</x:v>
      </x:c>
      <x:c r="N65" s="39" t="n">
        <x:v>3</x:v>
      </x:c>
      <x:c r="O65" s="39" t="n">
        <x:f>H65*Methodology!$E$4+I65*Methodology!$E$5+J65*Methodology!$E$6+K65*Methodology!$E$7+L65*Methodology!$E$8+M65*Methodology!$E$9+N65*Methodology!$E$10</x:f>
        <x:v>2.205</x:v>
      </x:c>
      <x:c r="P65" s="39" t="n">
        <x:f>1+(O65*2.25)</x:f>
        <x:v>5.96125</x:v>
      </x:c>
      <x:c r="Q65" s="38" t="n">
        <x:f>ROUND(P65,0)</x:f>
        <x:v>6</x:v>
      </x:c>
      <x:c r="R65" s="17" t="str">
        <x:v>Local protection and friendship matter despite normalized brutality.</x:v>
      </x:c>
    </x:row>
    <x:row r="66">
      <x:c r="A66" s="38" t="n">
        <x:v>6</x:v>
      </x:c>
      <x:c r="B66" s="17" t="str">
        <x:v>Dark Fantasy</x:v>
      </x:c>
      <x:c r="C66" s="17" t="str">
        <x:v>Made in Abyss</x:v>
      </x:c>
      <x:c r="D66" s="17" t="str">
        <x:v>Manga / Anime</x:v>
      </x:c>
      <x:c r="E66" s="17" t="str">
        <x:v>Akihito Tsukushi</x:v>
      </x:c>
      <x:c r="F66" s="17" t="str">
        <x:v>No</x:v>
      </x:c>
      <x:c r="G66" s="17" t="str">
        <x:v>Partial</x:v>
      </x:c>
      <x:c r="H66" s="39" t="n">
        <x:v>2.35</x:v>
      </x:c>
      <x:c r="I66" s="39" t="n">
        <x:v>2.1</x:v>
      </x:c>
      <x:c r="J66" s="39" t="n">
        <x:v>2.15</x:v>
      </x:c>
      <x:c r="K66" s="39" t="n">
        <x:v>2.3</x:v>
      </x:c>
      <x:c r="L66" s="39" t="n">
        <x:v>2</x:v>
      </x:c>
      <x:c r="M66" s="39" t="n">
        <x:v>2.05</x:v>
      </x:c>
      <x:c r="N66" s="39" t="n">
        <x:v>3.05</x:v>
      </x:c>
      <x:c r="O66" s="39" t="n">
        <x:f>H66*Methodology!$E$4+I66*Methodology!$E$5+J66*Methodology!$E$6+K66*Methodology!$E$7+L66*Methodology!$E$8+M66*Methodology!$E$9+N66*Methodology!$E$10</x:f>
        <x:v>2.2475</x:v>
      </x:c>
      <x:c r="P66" s="39" t="n">
        <x:f>1+(O66*2.25)</x:f>
        <x:v>6.056875</x:v>
      </x:c>
      <x:c r="Q66" s="38" t="n">
        <x:f>ROUND(P66,0)</x:f>
        <x:v>6</x:v>
      </x:c>
      <x:c r="R66" s="17" t="str">
        <x:v>Wonder is inseparable from extreme bodily and psychological suffering.</x:v>
      </x:c>
    </x:row>
    <x:row r="67">
      <x:c r="A67" s="38" t="n">
        <x:v>6</x:v>
      </x:c>
      <x:c r="B67" s="17" t="str">
        <x:v>Dark Fantasy</x:v>
      </x:c>
      <x:c r="C67" s="17" t="str">
        <x:v>The Witcher</x:v>
      </x:c>
      <x:c r="D67" s="17" t="str">
        <x:v>Novels / Games / TV</x:v>
      </x:c>
      <x:c r="E67" s="17" t="str">
        <x:v>Andrzej Sapkowski</x:v>
      </x:c>
      <x:c r="F67" s="17" t="str">
        <x:v>No</x:v>
      </x:c>
      <x:c r="G67" s="17" t="str">
        <x:v>Partial</x:v>
      </x:c>
      <x:c r="H67" s="39" t="n">
        <x:v>2.2</x:v>
      </x:c>
      <x:c r="I67" s="39" t="n">
        <x:v>2.1</x:v>
      </x:c>
      <x:c r="J67" s="39" t="n">
        <x:v>2.45</x:v>
      </x:c>
      <x:c r="K67" s="39" t="n">
        <x:v>2.55</x:v>
      </x:c>
      <x:c r="L67" s="39" t="n">
        <x:v>2</x:v>
      </x:c>
      <x:c r="M67" s="39" t="n">
        <x:v>2.05</x:v>
      </x:c>
      <x:c r="N67" s="39" t="n">
        <x:v>2.65</x:v>
      </x:c>
      <x:c r="O67" s="39" t="n">
        <x:f>H67*Methodology!$E$4+I67*Methodology!$E$5+J67*Methodology!$E$6+K67*Methodology!$E$7+L67*Methodology!$E$8+M67*Methodology!$E$9+N67*Methodology!$E$10</x:f>
        <x:v>2.2675</x:v>
      </x:c>
      <x:c r="P67" s="39" t="n">
        <x:f>1+(O67*2.25)</x:f>
        <x:v>6.101875</x:v>
      </x:c>
      <x:c r="Q67" s="38" t="n">
        <x:f>ROUND(P67,0)</x:f>
        <x:v>6</x:v>
      </x:c>
      <x:c r="R67" s="17" t="str">
        <x:v>Prejudice and political cruelty are systemic, though personal bonds retain meaning.</x:v>
      </x:c>
    </x:row>
    <x:row r="68">
      <x:c r="A68" s="38" t="n">
        <x:v>7</x:v>
      </x:c>
      <x:c r="B68" s="17" t="str">
        <x:v>Grimdark</x:v>
      </x:c>
      <x:c r="C68" s="17" t="str">
        <x:v>Berserk</x:v>
      </x:c>
      <x:c r="D68" s="17" t="str">
        <x:v>Manga / Anime / Films</x:v>
      </x:c>
      <x:c r="E68" s="17" t="str">
        <x:v>Kentaro Miura</x:v>
      </x:c>
      <x:c r="F68" s="17" t="str">
        <x:v>No</x:v>
      </x:c>
      <x:c r="G68" s="17" t="str">
        <x:v>Partial</x:v>
      </x:c>
      <x:c r="H68" s="39" t="n">
        <x:v>2.95</x:v>
      </x:c>
      <x:c r="I68" s="39" t="n">
        <x:v>2.65</x:v>
      </x:c>
      <x:c r="J68" s="39" t="n">
        <x:v>2.75</x:v>
      </x:c>
      <x:c r="K68" s="39" t="n">
        <x:v>2.9</x:v>
      </x:c>
      <x:c r="L68" s="39" t="n">
        <x:v>2.45</x:v>
      </x:c>
      <x:c r="M68" s="39" t="n">
        <x:v>2.6</x:v>
      </x:c>
      <x:c r="N68" s="39" t="n">
        <x:v>3.6</x:v>
      </x:c>
      <x:c r="O68" s="39" t="n">
        <x:f>H68*Methodology!$E$4+I68*Methodology!$E$5+J68*Methodology!$E$6+K68*Methodology!$E$7+L68*Methodology!$E$8+M68*Methodology!$E$9+N68*Methodology!$E$10</x:f>
        <x:v>2.805</x:v>
      </x:c>
      <x:c r="P68" s="39" t="n">
        <x:f>1+(O68*2.25)</x:f>
        <x:v>7.31125</x:v>
      </x:c>
      <x:c r="Q68" s="38" t="n">
        <x:f>ROUND(P68,0)</x:f>
        <x:v>7</x:v>
      </x:c>
      <x:c r="R68" s="17" t="str">
        <x:v>Cosmic cruelty is extreme, but resistance, love and healing still retain moral weight.</x:v>
      </x:c>
    </x:row>
    <x:row r="69">
      <x:c r="A69" s="38" t="n">
        <x:v>8</x:v>
      </x:c>
      <x:c r="B69" s="17" t="str">
        <x:v>Intense Grimdark</x:v>
      </x:c>
      <x:c r="C69" s="17" t="str">
        <x:v>A Song of Ice and Fire</x:v>
      </x:c>
      <x:c r="D69" s="17" t="str">
        <x:v>Novels / TV</x:v>
      </x:c>
      <x:c r="E69" s="17" t="str">
        <x:v>George R. R. Martin</x:v>
      </x:c>
      <x:c r="F69" s="17" t="str">
        <x:v>No</x:v>
      </x:c>
      <x:c r="G69" s="17" t="str">
        <x:v>Rare</x:v>
      </x:c>
      <x:c r="H69" s="39" t="n">
        <x:v>3.2</x:v>
      </x:c>
      <x:c r="I69" s="39" t="n">
        <x:v>3.15</x:v>
      </x:c>
      <x:c r="J69" s="39" t="n">
        <x:v>3.5</x:v>
      </x:c>
      <x:c r="K69" s="39" t="n">
        <x:v>3.6</x:v>
      </x:c>
      <x:c r="L69" s="39" t="n">
        <x:v>3</x:v>
      </x:c>
      <x:c r="M69" s="39" t="n">
        <x:v>3.1</x:v>
      </x:c>
      <x:c r="N69" s="39" t="n">
        <x:v>3.7</x:v>
      </x:c>
      <x:c r="O69" s="39" t="n">
        <x:f>H69*Methodology!$E$4+I69*Methodology!$E$5+J69*Methodology!$E$6+K69*Methodology!$E$7+L69*Methodology!$E$8+M69*Methodology!$E$9+N69*Methodology!$E$10</x:f>
        <x:v>3.3025</x:v>
      </x:c>
      <x:c r="P69" s="39" t="n">
        <x:f>1+(O69*2.25)</x:f>
        <x:v>8.430625000000001</x:v>
      </x:c>
      <x:c r="Q69" s="38" t="n">
        <x:f>ROUND(P69,0)</x:f>
        <x:v>8</x:v>
      </x:c>
      <x:c r="R69" s="17" t="str">
        <x:v>Institutions reward violence and compromise while idealism rarely transforms the system.</x:v>
      </x:c>
    </x:row>
    <x:row r="70">
      <x:c r="A70" s="38" t="n">
        <x:v>8</x:v>
      </x:c>
      <x:c r="B70" s="17" t="str">
        <x:v>Intense Grimdark</x:v>
      </x:c>
      <x:c r="C70" s="17" t="str">
        <x:v>Dark Souls I–III</x:v>
      </x:c>
      <x:c r="D70" s="17" t="str">
        <x:v>Video Games</x:v>
      </x:c>
      <x:c r="E70" s="17" t="str">
        <x:v>FromSoftware / Hidetaka Miyazaki</x:v>
      </x:c>
      <x:c r="F70" s="17" t="str">
        <x:v>No</x:v>
      </x:c>
      <x:c r="G70" s="17" t="str">
        <x:v>Rare</x:v>
      </x:c>
      <x:c r="H70" s="39" t="n">
        <x:v>3.5</x:v>
      </x:c>
      <x:c r="I70" s="39" t="n">
        <x:v>3.15</x:v>
      </x:c>
      <x:c r="J70" s="39" t="n">
        <x:v>3.25</x:v>
      </x:c>
      <x:c r="K70" s="39" t="n">
        <x:v>3.35</x:v>
      </x:c>
      <x:c r="L70" s="39" t="n">
        <x:v>3.2</x:v>
      </x:c>
      <x:c r="M70" s="39" t="n">
        <x:v>3.1</x:v>
      </x:c>
      <x:c r="N70" s="39" t="n">
        <x:v>3.55</x:v>
      </x:c>
      <x:c r="O70" s="39" t="n">
        <x:f>H70*Methodology!$E$4+I70*Methodology!$E$5+J70*Methodology!$E$6+K70*Methodology!$E$7+L70*Methodology!$E$8+M70*Methodology!$E$9+N70*Methodology!$E$10</x:f>
        <x:v>3.2875</x:v>
      </x:c>
      <x:c r="P70" s="39" t="n">
        <x:f>1+(O70*2.25)</x:f>
        <x:v>8.396875000000001</x:v>
      </x:c>
      <x:c r="Q70" s="38" t="n">
        <x:f>ROUND(P70,0)</x:f>
        <x:v>8</x:v>
      </x:c>
      <x:c r="R70" s="17" t="str">
        <x:v>Civilization is trapped in decaying cycles and victories are deeply ambiguous.</x:v>
      </x:c>
    </x:row>
    <x:row r="71">
      <x:c r="A71" s="38" t="n">
        <x:v>8</x:v>
      </x:c>
      <x:c r="B71" s="17" t="str">
        <x:v>Intense Grimdark</x:v>
      </x:c>
      <x:c r="C71" s="17" t="str">
        <x:v>Elden Ring</x:v>
      </x:c>
      <x:c r="D71" s="17" t="str">
        <x:v>Video Game</x:v>
      </x:c>
      <x:c r="E71" s="17" t="str">
        <x:v>FromSoftware / Hidetaka Miyazaki / George R. R. Martin</x:v>
      </x:c>
      <x:c r="F71" s="17" t="str">
        <x:v>No</x:v>
      </x:c>
      <x:c r="G71" s="17" t="str">
        <x:v>Rare</x:v>
      </x:c>
      <x:c r="H71" s="39" t="n">
        <x:v>3.2</x:v>
      </x:c>
      <x:c r="I71" s="39" t="n">
        <x:v>3.15</x:v>
      </x:c>
      <x:c r="J71" s="39" t="n">
        <x:v>3.25</x:v>
      </x:c>
      <x:c r="K71" s="39" t="n">
        <x:v>3.55</x:v>
      </x:c>
      <x:c r="L71" s="39" t="n">
        <x:v>3</x:v>
      </x:c>
      <x:c r="M71" s="39" t="n">
        <x:v>3.1</x:v>
      </x:c>
      <x:c r="N71" s="39" t="n">
        <x:v>3.65</x:v>
      </x:c>
      <x:c r="O71" s="39" t="n">
        <x:f>H71*Methodology!$E$4+I71*Methodology!$E$5+J71*Methodology!$E$6+K71*Methodology!$E$7+L71*Methodology!$E$8+M71*Methodology!$E$9+N71*Methodology!$E$10</x:f>
        <x:v>3.2524999999999995</x:v>
      </x:c>
      <x:c r="P71" s="39" t="n">
        <x:f>1+(O71*2.25)</x:f>
        <x:v>8.318124999999998</x:v>
      </x:c>
      <x:c r="Q71" s="38" t="n">
        <x:f>ROUND(P71,0)</x:f>
        <x:v>8</x:v>
      </x:c>
      <x:c r="R71" s="17" t="str">
        <x:v>Cosmic order is shattered, with restoration options remaining morally uncertain.</x:v>
      </x:c>
    </x:row>
    <x:row r="72">
      <x:c r="A72" s="38" t="n">
        <x:v>8</x:v>
      </x:c>
      <x:c r="B72" s="17" t="str">
        <x:v>Intense Grimdark</x:v>
      </x:c>
      <x:c r="C72" s="17" t="str">
        <x:v>Fire Punch</x:v>
      </x:c>
      <x:c r="D72" s="17" t="str">
        <x:v>Manga</x:v>
      </x:c>
      <x:c r="E72" s="17" t="str">
        <x:v>Tatsuki Fujimoto</x:v>
      </x:c>
      <x:c r="F72" s="17" t="str">
        <x:v>No</x:v>
      </x:c>
      <x:c r="G72" s="17" t="str">
        <x:v>Rare</x:v>
      </x:c>
      <x:c r="H72" s="39" t="n">
        <x:v>3.2</x:v>
      </x:c>
      <x:c r="I72" s="39" t="n">
        <x:v>3.15</x:v>
      </x:c>
      <x:c r="J72" s="39" t="n">
        <x:v>3.5</x:v>
      </x:c>
      <x:c r="K72" s="39" t="n">
        <x:v>3.35</x:v>
      </x:c>
      <x:c r="L72" s="39" t="n">
        <x:v>3</x:v>
      </x:c>
      <x:c r="M72" s="39" t="n">
        <x:v>3.1</x:v>
      </x:c>
      <x:c r="N72" s="39" t="n">
        <x:v>3.8</x:v>
      </x:c>
      <x:c r="O72" s="39" t="n">
        <x:f>H72*Methodology!$E$4+I72*Methodology!$E$5+J72*Methodology!$E$6+K72*Methodology!$E$7+L72*Methodology!$E$8+M72*Methodology!$E$9+N72*Methodology!$E$10</x:f>
        <x:v>3.2749999999999995</x:v>
      </x:c>
      <x:c r="P72" s="39" t="n">
        <x:f>1+(O72*2.25)</x:f>
        <x:v>8.368749999999999</x:v>
      </x:c>
      <x:c r="Q72" s="38" t="n">
        <x:f>ROUND(P72,0)</x:f>
        <x:v>8</x:v>
      </x:c>
      <x:c r="R72" s="17" t="str">
        <x:v>Identity, faith and heroism collapse under relentless exploitation and trauma.</x:v>
      </x:c>
    </x:row>
    <x:row r="73">
      <x:c r="A73" s="38" t="n">
        <x:v>9</x:v>
      </x:c>
      <x:c r="B73" s="17" t="str">
        <x:v>Extreme Grimdark</x:v>
      </x:c>
      <x:c r="C73" s="17" t="str">
        <x:v>The First Law</x:v>
      </x:c>
      <x:c r="D73" s="17" t="str">
        <x:v>Novels</x:v>
      </x:c>
      <x:c r="E73" s="17" t="str">
        <x:v>Joe Abercrombie</x:v>
      </x:c>
      <x:c r="F73" s="17" t="str">
        <x:v>No</x:v>
      </x:c>
      <x:c r="G73" s="17" t="str">
        <x:v>Rare</x:v>
      </x:c>
      <x:c r="H73" s="39" t="n">
        <x:v>3.6</x:v>
      </x:c>
      <x:c r="I73" s="39" t="n">
        <x:v>3.75</x:v>
      </x:c>
      <x:c r="J73" s="39" t="n">
        <x:v>3.9</x:v>
      </x:c>
      <x:c r="K73" s="39" t="n">
        <x:v>3.75</x:v>
      </x:c>
      <x:c r="L73" s="39" t="n">
        <x:v>3.65</x:v>
      </x:c>
      <x:c r="M73" s="39" t="n">
        <x:v>3.6</x:v>
      </x:c>
      <x:c r="N73" s="39" t="n">
        <x:v>3.8</x:v>
      </x:c>
      <x:c r="O73" s="39" t="n">
        <x:f>H73*Methodology!$E$4+I73*Methodology!$E$5+J73*Methodology!$E$6+K73*Methodology!$E$7+L73*Methodology!$E$8+M73*Methodology!$E$9+N73*Methodology!$E$10</x:f>
        <x:v>3.7175</x:v>
      </x:c>
      <x:c r="P73" s="39" t="n">
        <x:f>1+(O73*2.25)</x:f>
        <x:v>9.364374999999999</x:v>
      </x:c>
      <x:c r="Q73" s="38" t="n">
        <x:f>ROUND(P73,0)</x:f>
        <x:v>9</x:v>
      </x:c>
      <x:c r="R73" s="17" t="str">
        <x:v>Power systems absorb reform and repeatedly turn growth into compromise or failure.</x:v>
      </x:c>
    </x:row>
    <x:row r="74">
      <x:c r="A74" s="38" t="n">
        <x:v>10</x:v>
      </x:c>
      <x:c r="B74" s="17" t="str">
        <x:v>Very Extreme Grimdark</x:v>
      </x:c>
      <x:c r="C74" s="17" t="str">
        <x:v>Warhammer 40,000</x:v>
      </x:c>
      <x:c r="D74" s="17" t="str">
        <x:v>Tabletop / Novels / Games / Animation</x:v>
      </x:c>
      <x:c r="E74" s="17" t="str">
        <x:v>Games Workshop</x:v>
      </x:c>
      <x:c r="F74" s="17" t="str">
        <x:v>No</x:v>
      </x:c>
      <x:c r="G74" s="17" t="str">
        <x:v>No</x:v>
      </x:c>
      <x:c r="H74" s="39" t="n">
        <x:v>4</x:v>
      </x:c>
      <x:c r="I74" s="39" t="n">
        <x:v>3.85</x:v>
      </x:c>
      <x:c r="J74" s="39" t="n">
        <x:v>3.9</x:v>
      </x:c>
      <x:c r="K74" s="39" t="n">
        <x:v>4</x:v>
      </x:c>
      <x:c r="L74" s="39" t="n">
        <x:v>3.8</x:v>
      </x:c>
      <x:c r="M74" s="39" t="n">
        <x:v>3.95</x:v>
      </x:c>
      <x:c r="N74" s="39" t="n">
        <x:v>4</x:v>
      </x:c>
      <x:c r="O74" s="39" t="n">
        <x:f>H74*Methodology!$E$4+I74*Methodology!$E$5+J74*Methodology!$E$6+K74*Methodology!$E$7+L74*Methodology!$E$8+M74*Methodology!$E$9+N74*Methodology!$E$10</x:f>
        <x:v>3.9249999999999994</x:v>
      </x:c>
      <x:c r="P74" s="39" t="n">
        <x:f>1+(O74*2.25)</x:f>
        <x:v>9.831249999999999</x:v>
      </x:c>
      <x:c r="Q74" s="38" t="n">
        <x:f>ROUND(P74,0)</x:f>
        <x:v>10</x:v>
      </x:c>
      <x:c r="R74" s="17" t="str">
        <x:v>War, oppression and decay are permanent structural conditions of the universe.</x:v>
      </x:c>
    </x:row>
  </x:sheetData>
  <x:conditionalFormatting sqref="H2:N74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conditionalFormatting sqref="P2:P74">
    <x:cfRule type="colorScale" priority="2">
      <x:colorScale>
        <x:cfvo type="min"/>
        <x:cfvo type="percentile" val="50"/>
        <x:cfvo type="max"/>
        <x:color rgb="FFDCFCE7"/>
        <x:color rgb="FFFDE68A"/>
        <x:color rgb="FF7F1D1D"/>
      </x:colorScale>
    </x:cfRule>
  </x:conditionalFormatting>
  <x:dataValidations count="2">
    <x:dataValidation type="decimal" operator="between" sqref="H2:N74">
      <x:formula1>0</x:formula1>
      <x:formula2>4</x:formula2>
    </x:dataValidation>
    <x:dataValidation type="list" sqref="F2:G74">
      <x:formula1>"Yes,Partial,Rare,No"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78839ca22e42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4" hidden="0" customWidth="1"/>
    <x:col min="3" max="3" width="22" hidden="0" customWidth="1"/>
    <x:col min="4" max="4" width="22" hidden="0" customWidth="1"/>
  </x:cols>
  <x:sheetData>
    <x:row r="1">
      <x:c r="A1" s="4" t="str">
        <x:v>Fantasy Darkness Scale Summary</x:v>
      </x:c>
      <x:c r="B1" s="4"/>
      <x:c r="C1" s="4"/>
      <x:c r="D1" s="4"/>
      <x:c r="E1" s="4"/>
      <x:c r="F1" s="4"/>
    </x:row>
    <x:row r="3">
      <x:c r="A3" s="13" t="str">
        <x:v>Tier</x:v>
      </x:c>
      <x:c r="B3" s="13" t="str">
        <x:v>Category</x:v>
      </x:c>
      <x:c r="C3" s="13" t="str">
        <x:v>Works</x:v>
      </x:c>
      <x:c r="D3" s="13" t="str">
        <x:v>Average Calculated Score</x:v>
      </x:c>
    </x:row>
    <x:row r="4">
      <x:c r="A4" t="n">
        <x:v>1</x:v>
      </x:c>
      <x:c r="B4" t="str">
        <x:v>Cozy Fantasy, Hopepunk &amp; Very Bright Fantasy</x:v>
      </x:c>
      <x:c r="C4" t="n">
        <x:f>COUNTIF(Evaluations!$A$2:$A$74,A4)</x:f>
        <x:v>4</x:v>
      </x:c>
      <x:c r="D4" s="34" t="n">
        <x:f>AVERAGEIF(Evaluations!$A$2:$A$74,A4,Evaluations!$P$2:$P$74)</x:f>
        <x:v>1.15890625</x:v>
      </x:c>
    </x:row>
    <x:row r="5">
      <x:c r="A5" t="n">
        <x:v>2</x:v>
      </x:c>
      <x:c r="B5" t="str">
        <x:v>Hopepunk, Cozy Fantasy &amp; Heroic Fantasy</x:v>
      </x:c>
      <x:c r="C5" t="n">
        <x:f>COUNTIF(Evaluations!$A$2:$A$74,A5)</x:f>
        <x:v>13</x:v>
      </x:c>
      <x:c r="D5" s="34" t="n">
        <x:f>AVERAGEIF(Evaluations!$A$2:$A$74,A5,Evaluations!$P$2:$P$74)</x:f>
        <x:v>1.8549999999999995</x:v>
      </x:c>
    </x:row>
    <x:row r="6">
      <x:c r="A6" t="n">
        <x:v>3</x:v>
      </x:c>
      <x:c r="B6" t="str">
        <x:v>Balanced, Melancholic or Hopepunk Fantasy</x:v>
      </x:c>
      <x:c r="C6" t="n">
        <x:f>COUNTIF(Evaluations!$A$2:$A$74,A6)</x:f>
        <x:v>15</x:v>
      </x:c>
      <x:c r="D6" s="34" t="n">
        <x:f>AVERAGEIF(Evaluations!$A$2:$A$74,A6,Evaluations!$P$2:$P$74)</x:f>
        <x:v>2.7381249999999997</x:v>
      </x:c>
    </x:row>
    <x:row r="7">
      <x:c r="A7" t="n">
        <x:v>4</x:v>
      </x:c>
      <x:c r="B7" t="str">
        <x:v>Dark Fantasy with Hope</x:v>
      </x:c>
      <x:c r="C7" t="n">
        <x:f>COUNTIF(Evaluations!$A$2:$A$74,A7)</x:f>
        <x:v>20</x:v>
      </x:c>
      <x:c r="D7" s="34" t="n">
        <x:f>AVERAGEIF(Evaluations!$A$2:$A$74,A7,Evaluations!$P$2:$P$74)</x:f>
        <x:v>3.7734062499999994</x:v>
      </x:c>
    </x:row>
    <x:row r="8">
      <x:c r="A8" t="n">
        <x:v>5</x:v>
      </x:c>
      <x:c r="B8" t="str">
        <x:v>Gloomy Fantasy</x:v>
      </x:c>
      <x:c r="C8" t="n">
        <x:f>COUNTIF(Evaluations!$A$2:$A$74,A8)</x:f>
        <x:v>9</x:v>
      </x:c>
      <x:c r="D8" s="34" t="n">
        <x:f>AVERAGEIF(Evaluations!$A$2:$A$74,A8,Evaluations!$P$2:$P$74)</x:f>
        <x:v>4.884375000000001</x:v>
      </x:c>
    </x:row>
    <x:row r="9">
      <x:c r="A9" t="n">
        <x:v>6</x:v>
      </x:c>
      <x:c r="B9" t="str">
        <x:v>Dark Fantasy</x:v>
      </x:c>
      <x:c r="C9" t="n">
        <x:f>COUNTIF(Evaluations!$A$2:$A$74,A9)</x:f>
        <x:v>5</x:v>
      </x:c>
      <x:c r="D9" s="34" t="n">
        <x:f>AVERAGEIF(Evaluations!$A$2:$A$74,A9,Evaluations!$P$2:$P$74)</x:f>
        <x:v>6.044499999999999</x:v>
      </x:c>
    </x:row>
    <x:row r="10">
      <x:c r="A10" t="n">
        <x:v>7</x:v>
      </x:c>
      <x:c r="B10" t="str">
        <x:v>Grimdark</x:v>
      </x:c>
      <x:c r="C10" t="n">
        <x:f>COUNTIF(Evaluations!$A$2:$A$74,A10)</x:f>
        <x:v>1</x:v>
      </x:c>
      <x:c r="D10" s="34" t="n">
        <x:f>AVERAGEIF(Evaluations!$A$2:$A$74,A10,Evaluations!$P$2:$P$74)</x:f>
        <x:v>7.31125</x:v>
      </x:c>
    </x:row>
    <x:row r="11">
      <x:c r="A11" t="n">
        <x:v>8</x:v>
      </x:c>
      <x:c r="B11" t="str">
        <x:v>Intense Grimdark</x:v>
      </x:c>
      <x:c r="C11" t="n">
        <x:f>COUNTIF(Evaluations!$A$2:$A$74,A11)</x:f>
        <x:v>4</x:v>
      </x:c>
      <x:c r="D11" s="34" t="n">
        <x:f>AVERAGEIF(Evaluations!$A$2:$A$74,A11,Evaluations!$P$2:$P$74)</x:f>
        <x:v>8.37859375</x:v>
      </x:c>
    </x:row>
    <x:row r="12">
      <x:c r="A12" t="n">
        <x:v>9</x:v>
      </x:c>
      <x:c r="B12" t="str">
        <x:v>Extreme Grimdark</x:v>
      </x:c>
      <x:c r="C12" t="n">
        <x:f>COUNTIF(Evaluations!$A$2:$A$74,A12)</x:f>
        <x:v>1</x:v>
      </x:c>
      <x:c r="D12" s="34" t="n">
        <x:f>AVERAGEIF(Evaluations!$A$2:$A$74,A12,Evaluations!$P$2:$P$74)</x:f>
        <x:v>9.364374999999999</x:v>
      </x:c>
    </x:row>
    <x:row r="13">
      <x:c r="A13" t="n">
        <x:v>10</x:v>
      </x:c>
      <x:c r="B13" t="str">
        <x:v>Very Extreme Grimdark</x:v>
      </x:c>
      <x:c r="C13" t="n">
        <x:f>COUNTIF(Evaluations!$A$2:$A$74,A13)</x:f>
        <x:v>1</x:v>
      </x:c>
      <x:c r="D13" s="34" t="n">
        <x:f>AVERAGEIF(Evaluations!$A$2:$A$74,A13,Evaluations!$P$2:$P$74)</x:f>
        <x:v>9.831249999999999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db0fd5dcefea4f52"/>
</x:worksheet>
</file>