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<sst xmlns="http://schemas.openxmlformats.org/spreadsheetml/2006/main" count="649" uniqueCount="304">
  <si>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</si>
  <si>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</si>
  <si>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</si>
  <si>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</si>
  <si>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</si>
  <si>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</si>
  <si>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</si>
  <si>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</si>
  <si>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</si>
  <si>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</si>
  <si>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</si>
  <si>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</si>
  <si>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</si>
  <si>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</si>
  <si>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</si>
  <si>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</si>
  <si>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</si>
  <si>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</si>
  <si>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</si>
  <si>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</si>
  <si>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</si>
  <si>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</si>
  <si>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</si>
  <si>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</si>
  <si>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</si>
  <si>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</si>
  <si>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</si>
  <si>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</si>
  <si>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</si>
  <si>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</si>
  <si>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</si>
  <si>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</si>
  <si>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Extreme Dark Fantasy</t>
  </si>
  <si>
    <t xml:space="preserve">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</si>
  <si>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</si>
  <si>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</si>
  <si>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</si>
  <si>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</si>
  <si>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</si>
  <si>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</si>
  <si>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</si>
  <si>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</si>
  <si>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</si>
  <si>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</si>
  <si>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</si>
  <si>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</si>
  <si>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</si>
  <si>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</si>
  <si>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</si>
  <si>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</si>
  <si>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</si>
  <si>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</si>
  <si>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</si>
  <si>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</si>
  <si>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</si>
  <si>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</si>
  <si>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</si>
  <si>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</si>
  <si>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</si>
  <si>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</si>
  <si>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</si>
  <si>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</si>
  <si>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</si>
  <si>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</si>
  <si>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</si>
  <si>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</si>
  <si>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</si>
  <si>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</si>
  <si>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</si>
  <si>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</si>
  <si>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</si>
  <si>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</si>
  <si>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</si>
  <si>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</si>
  <si>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</si>
  <si>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</si>
  <si>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</si>
  <si>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</si>
  <si>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</si>
  <si>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</si>
  <si>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</si>
  <si>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</si>
  <si>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</si>
  <si>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</si>
  <si>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</si>
  <si>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</si>
  <si>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</si>
  <si>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</si>
  <si>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</si>
  <si>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</si>
  <si>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</si>
  <si>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</si>
  <si>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</si>
  <si>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</si>
  <si>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</si>
  <si>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</si>
  <si>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</si>
  <si>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</si>
  <si>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</si>
  <si>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</si>
  <si>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</si>
  <si>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</si>
  <si>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</si>
  <si>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</si>
  <si>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</si>
  <si>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</si>
  <si>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</si>
  <si>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</si>
  <si>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</si>
  <si>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</si>
  <si>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</si>
  <si>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</si>
  <si>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</si>
  <si>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</si>
  <si>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</si>
  <si>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</si>
  <si>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</si>
  <si>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</si>
  <si>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</si>
  <si>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</si>
  <si>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</si>
  <si>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</si>
  <si>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</si>
  <si>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</si>
  <si>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</si>
  <si>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</si>
  <si>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</si>
  <si>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</si>
  <si>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</si>
  <si>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</si>
  <si>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</si>
  <si>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</si>
  <si>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</si>
  <si>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</si>
  <si>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</si>
  <si>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</si>
  <si>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</si>
  <si>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</si>
  <si>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</si>
  <si>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</si>
  <si>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</si>
  <si>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</si>
  <si>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</si>
  <si>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</si>
  <si>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</si>
  <si>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</si>
  <si>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</si>
  <si>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</si>
  <si>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</si>
  <si>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</si>
  <si>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</si>
  <si>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</si>
  <si>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</si>
  <si>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</si>
  <si>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</si>
  <si>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</si>
  <si>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</si>
  <si>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</si>
  <si>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</si>
  <si>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</si>
  <si>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</si>
  <si>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</si>
  <si>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</si>
  <si>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</si>
  <si>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</si>
  <si>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</si>
  <si>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</si>
  <si>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</si>
  <si>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</si>
  <si>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</si>
  <si>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</si>
  <si>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</si>
  <si>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</si>
  <si>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</si>
  <si>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</si>
  <si>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</si>
  <si>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</si>
  <si>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</si>
  <si>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</si>
  <si>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</si>
  <si>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</si>
  <si>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</si>
  <si>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</si>
  <si>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</si>
  <si>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</si>
  <si>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</si>
  <si>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</si>
  <si>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</si>
  <si>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</si>
  <si>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</si>
  <si>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</si>
  <si>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</si>
  <si>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</si>
  <si>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</si>
  <si>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</si>
  <si>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</si>
  <si>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</si>
  <si>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</si>
  <si>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</si>
  <si>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</si>
  <si>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</si>
  <si>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</si>
  <si>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</si>
  <si>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</si>
  <si>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</si>
  <si>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</si>
  <si>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</si>
  <si>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</si>
  <si>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</si>
  <si>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</si>
  <si>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</si>
  <si>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</si>
  <si>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</si>
  <si>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</si>
  <si>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</si>
  <si>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</si>
  <si>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</si>
  <si>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</si>
  <si>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</si>
  <si>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</si>
  <si>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</si>
  <si>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</si>
  <si>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</si>
  <si>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</si>
  <si>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</si>
  <si>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</si>
  <si>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</si>
  <si>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</si>
  <si>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</si>
  <si>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</si>
  <si>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</si>
  <si>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</si>
  <si>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</si>
  <si>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</si>
  <si>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</si>
  <si>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</si>
  <si>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</si>
  <si>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</si>
  <si>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</si>
  <si>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</si>
  <si>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</si>
  <si>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</si>
  <si>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</si>
  <si>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</si>
  <si>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</si>
  <si>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</si>
  <si>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</si>
  <si>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</si>
  <si>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</si>
  <si>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</si>
  <si>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</si>
  <si>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</si>
  <si>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</si>
  <si>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</si>
  <si>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</si>
  <si>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</si>
  <si>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</si>
  <si>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</si>
  <si>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</si>
  <si>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</si>
  <si>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</si>
  <si>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</si>
  <si>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</si>
  <si>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</si>
  <si>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</si>
  <si>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</si>
  <si>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</si>
  <si>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</si>
  <si>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</si>
  <si>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</si>
  <si>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</si>
  <si>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</si>
  <si>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</si>
  <si>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</si>
  <si>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</si>
  <si>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</si>
  <si>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</si>
  <si>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</si>
  <si>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</si>
  <si>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</si>
  <si>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</si>
  <si>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Adventure Time</t>
  </si>
  <si>
    <t xml:space="preserve">TV / Comics</t>
  </si>
  <si>
    <t xml:space="preserve">Pendleton Ward</t>
  </si>
  <si>
    <t xml:space="preserve">The post-Mushroom-War setting and Ice King's tragic loss of self add real melancholy, but whimsical humor and consistently effective heroism keep the tone gentle overall.</t>
  </si>
  <si>
    <t xml:space="preserve">Star vs. the Forces of Evil</t>
  </si>
  <si>
    <t xml:space="preserve">Daron Nefcy</t>
  </si>
  <si>
    <t xml:space="preserve">Generations of Mewman genocide against Monsters drive the later seasons, and the finale resolves the conflict by erasing magic outright rather than reforming the system — heavier than most gray-tones peers, though Star's reconciliation arc and the show's comedic early seasons keep real hope in the frame.</t>
  </si>
  <si>
    <t xml:space="preserve">Clevatess</t>
  </si>
  <si>
    <t xml:space="preserve">Yūji Iwahara</t>
  </si>
  <si>
    <t xml:space="preserve">A demon king raising a human infant instead of annihilating humanity is genuinely tender, but the surrounding world is severe — infant trafficking and experimentation, and a named character's backstory of sustained abuse push explicit darkness above most of this tier.</t>
  </si>
  <si>
    <t xml:space="preserve">The Saga of Tanya the Evil</t>
  </si>
  <si>
    <t xml:space="preserve">Light Novels / Manga / Anime / Film</t>
  </si>
  <si>
    <t xml:space="preserve">Carlo Zen</t>
  </si>
  <si>
    <t xml:space="preserve">A reincarnated corporate pragmatist becomes a ruthlessly effective officer in a magic-augmented World War I that never ends; the satire's thesis is that cynicism outperforms idealism, and neither Tanya nor the war itself ever really changes.</t>
  </si>
  <si>
    <t xml:space="preserve">Re:Zero − Starting Life in Another World</t>
  </si>
  <si>
    <t xml:space="preserve">Tappei Nagatsuki</t>
  </si>
  <si>
    <t xml:space="preserve">Subaru's “Return by Death” turns failure into genuinely repeated, graphic trauma — among the most psychologically brutal content on this scale — but the loops consistently let heroism and hard-won found-family actually fix things, so it stays a story about earning growth through suffering rather than accepting defeat.</t>
  </si>
  <si>
    <t xml:space="preserve">Legend</t>
  </si>
  <si>
    <t xml:space="preserve">Ridley Scott</t>
  </si>
  <si>
    <t xml:space="preserve">A mythic, single-villain fairy tale rather than anything institutional: Darkness's gothic menace and the stallion unicorn's death carry real atmospheric horror, but heroism is straightforward and decisive, and Lili's temptation is treated as innocence exploited rather than culpability.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</si>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</sst>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15</c:v>
                </c:pt>
                <c:pt idx="2">
                  <c:v>16</c:v>
                </c:pt>
                <c:pt idx="3">
                  <c:v>21</c:v>
                </c:pt>
                <c:pt idx="4">
                  <c:v>9</c:v>
                </c:pt>
                <c:pt idx="5">
                  <c:v>7</c:v>
                </c:pt>
                <c:pt idx="6">
                  <c:v>2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17943322"/>
        <c:axId val="22242778"/>
      </c:barChart>
      <c:catAx>
        <c:axId val="1794332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2242778"/>
        <c:crosses val="autoZero"/>
        <c:auto val="1"/>
        <c:lblAlgn val="ctr"/>
        <c:lblOffset val="100"/>
        <c:noMultiLvlLbl val="0"/>
      </c:catAx>
      <c:valAx>
        <c:axId val="2224277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79433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605160</xdr:colOff>
      <xdr:row>19</xdr:row>
      <xdr:rowOff>184320</xdr:rowOff>
    </xdr:to>
    <xdr:graphicFrame>
      <xdr:nvGraphicFramePr>
        <xdr:cNvPr id="1" name="Chart 1"/>
        <xdr:cNvGraphicFramePr/>
      </xdr:nvGraphicFramePr>
      <xdr:xfrm>
        <a:off x="7518960" y="438120"/>
        <a:ext cx="4885920" cy="3422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  <row r="76" customFormat="false" ht="15" hidden="false" customHeight="true" outlineLevel="0" collapsed="false">
      <c r="A76" s="1" t="n">
        <v>3</v>
      </c>
      <c r="B76" s="1" t="s">
        <v>28</v>
      </c>
      <c r="C76" s="1" t="s">
        <v>281</v>
      </c>
      <c r="D76" s="1" t="s">
        <v>282</v>
      </c>
      <c r="E76" s="1" t="s">
        <v>283</v>
      </c>
      <c r="F76" s="1" t="s">
        <v>61</v>
      </c>
      <c r="G76" s="1" t="s">
        <v>61</v>
      </c>
      <c r="H76" s="1" t="n">
        <v>0.85</v>
      </c>
      <c r="I76" s="1" t="n">
        <v>0.75</v>
      </c>
      <c r="J76" s="1" t="n">
        <v>0.6</v>
      </c>
      <c r="K76" s="1" t="n">
        <v>0.85</v>
      </c>
      <c r="L76" s="1" t="n">
        <v>0.55</v>
      </c>
      <c r="M76" s="1" t="n">
        <v>0.6</v>
      </c>
      <c r="N76" s="1" t="n">
        <v>1.15</v>
      </c>
      <c r="O76" s="1" t="n">
        <f aca="false">H76*Methodology!$E$4+I76*Methodology!$E$5+J76*Methodology!$E$6+K76*Methodology!$E$7+L76*Methodology!$E$8+M76*Methodology!$E$9+N76*Methodology!$E$10</f>
        <v>0.745</v>
      </c>
      <c r="P76" s="1" t="n">
        <f aca="false">1+(O76*2.25)</f>
        <v>2.67625</v>
      </c>
      <c r="Q76" s="1" t="n">
        <f aca="false">ROUND(P76,0)</f>
        <v>3</v>
      </c>
      <c r="R76" s="1" t="s">
        <v>284</v>
      </c>
    </row>
    <row r="77" customFormat="false" ht="15" hidden="false" customHeight="true" outlineLevel="0" collapsed="false">
      <c r="A77" s="1" t="n">
        <v>4</v>
      </c>
      <c r="B77" s="1" t="s">
        <v>29</v>
      </c>
      <c r="C77" s="1" t="s">
        <v>285</v>
      </c>
      <c r="D77" s="1" t="s">
        <v>282</v>
      </c>
      <c r="E77" s="1" t="s">
        <v>286</v>
      </c>
      <c r="F77" s="1" t="s">
        <v>61</v>
      </c>
      <c r="G77" s="1" t="s">
        <v>61</v>
      </c>
      <c r="H77" s="1" t="n">
        <v>1.3</v>
      </c>
      <c r="I77" s="1" t="n">
        <v>1.15</v>
      </c>
      <c r="J77" s="1" t="n">
        <v>1</v>
      </c>
      <c r="K77" s="1" t="n">
        <v>1.5</v>
      </c>
      <c r="L77" s="1" t="n">
        <v>1</v>
      </c>
      <c r="M77" s="1" t="n">
        <v>1.2</v>
      </c>
      <c r="N77" s="1" t="n">
        <v>1.5</v>
      </c>
      <c r="O77" s="1" t="n">
        <f aca="false">H77*Methodology!$E$4+I77*Methodology!$E$5+J77*Methodology!$E$6+K77*Methodology!$E$7+L77*Methodology!$E$8+M77*Methodology!$E$9+N77*Methodology!$E$10</f>
        <v>1.2225</v>
      </c>
      <c r="P77" s="1" t="n">
        <f aca="false">1+(O77*2.25)</f>
        <v>3.750625</v>
      </c>
      <c r="Q77" s="1" t="n">
        <f aca="false">ROUND(P77,0)</f>
        <v>4</v>
      </c>
      <c r="R77" s="1" t="s">
        <v>287</v>
      </c>
    </row>
    <row r="78" customFormat="false" ht="15" hidden="false" customHeight="true" outlineLevel="0" collapsed="false">
      <c r="A78" s="1" t="n">
        <v>6</v>
      </c>
      <c r="B78" s="1" t="s">
        <v>31</v>
      </c>
      <c r="C78" s="1" t="s">
        <v>288</v>
      </c>
      <c r="D78" s="1" t="s">
        <v>129</v>
      </c>
      <c r="E78" s="1" t="s">
        <v>289</v>
      </c>
      <c r="F78" s="1" t="s">
        <v>61</v>
      </c>
      <c r="G78" s="1" t="s">
        <v>61</v>
      </c>
      <c r="H78" s="1" t="n">
        <v>2.1</v>
      </c>
      <c r="I78" s="1" t="n">
        <v>1.9</v>
      </c>
      <c r="J78" s="1" t="n">
        <v>2.2</v>
      </c>
      <c r="K78" s="1" t="n">
        <v>2.4</v>
      </c>
      <c r="L78" s="1" t="n">
        <v>1.7</v>
      </c>
      <c r="M78" s="1" t="n">
        <v>2</v>
      </c>
      <c r="N78" s="1" t="n">
        <v>3.1</v>
      </c>
      <c r="O78" s="1" t="n">
        <f aca="false">H78*Methodology!$E$4+I78*Methodology!$E$5+J78*Methodology!$E$6+K78*Methodology!$E$7+L78*Methodology!$E$8+M78*Methodology!$E$9+N78*Methodology!$E$10</f>
        <v>2.155</v>
      </c>
      <c r="P78" s="1" t="n">
        <f aca="false">1+(O78*2.25)</f>
        <v>5.84875</v>
      </c>
      <c r="Q78" s="1" t="n">
        <f aca="false">ROUND(P78,0)</f>
        <v>6</v>
      </c>
      <c r="R78" s="1" t="s">
        <v>290</v>
      </c>
    </row>
    <row r="79" customFormat="false" ht="15" hidden="false" customHeight="true" outlineLevel="0" collapsed="false">
      <c r="A79" s="1" t="n">
        <v>7</v>
      </c>
      <c r="B79" s="1" t="s">
        <v>32</v>
      </c>
      <c r="C79" s="1" t="s">
        <v>291</v>
      </c>
      <c r="D79" s="1" t="s">
        <v>292</v>
      </c>
      <c r="E79" s="1" t="s">
        <v>293</v>
      </c>
      <c r="F79" s="1" t="s">
        <v>61</v>
      </c>
      <c r="G79" s="1" t="s">
        <v>61</v>
      </c>
      <c r="H79" s="1" t="n">
        <v>2.5</v>
      </c>
      <c r="I79" s="1" t="n">
        <v>2.8</v>
      </c>
      <c r="J79" s="1" t="n">
        <v>3.1</v>
      </c>
      <c r="K79" s="1" t="n">
        <v>2.7</v>
      </c>
      <c r="L79" s="1" t="n">
        <v>2.8</v>
      </c>
      <c r="M79" s="1" t="n">
        <v>2.7</v>
      </c>
      <c r="N79" s="1" t="n">
        <v>3.1</v>
      </c>
      <c r="O79" s="1" t="n">
        <f aca="false">H79*Methodology!$E$4+I79*Methodology!$E$5+J79*Methodology!$E$6+K79*Methodology!$E$7+L79*Methodology!$E$8+M79*Methodology!$E$9+N79*Methodology!$E$10</f>
        <v>2.8</v>
      </c>
      <c r="P79" s="1" t="n">
        <f aca="false">1+(O79*2.25)</f>
        <v>7.3</v>
      </c>
      <c r="Q79" s="1" t="n">
        <f aca="false">ROUND(P79,0)</f>
        <v>7</v>
      </c>
      <c r="R79" s="1" t="s">
        <v>294</v>
      </c>
    </row>
    <row r="80" customFormat="false" ht="15" hidden="false" customHeight="true" outlineLevel="0" collapsed="false">
      <c r="A80" s="1" t="n">
        <v>6</v>
      </c>
      <c r="B80" s="1" t="s">
        <v>31</v>
      </c>
      <c r="C80" s="1" t="s">
        <v>295</v>
      </c>
      <c r="D80" s="1" t="s">
        <v>244</v>
      </c>
      <c r="E80" s="1" t="s">
        <v>296</v>
      </c>
      <c r="F80" s="1" t="s">
        <v>61</v>
      </c>
      <c r="G80" s="1" t="s">
        <v>61</v>
      </c>
      <c r="H80" s="1" t="n">
        <v>2.3</v>
      </c>
      <c r="I80" s="1" t="n">
        <v>1.8</v>
      </c>
      <c r="J80" s="1" t="n">
        <v>2.1</v>
      </c>
      <c r="K80" s="1" t="n">
        <v>2.3</v>
      </c>
      <c r="L80" s="1" t="n">
        <v>1.9</v>
      </c>
      <c r="M80" s="1" t="n">
        <v>1.8</v>
      </c>
      <c r="N80" s="1" t="n">
        <v>3.1</v>
      </c>
      <c r="O80" s="1" t="n">
        <f aca="false">H80*Methodology!$E$4+I80*Methodology!$E$5+J80*Methodology!$E$6+K80*Methodology!$E$7+L80*Methodology!$E$8+M80*Methodology!$E$9+N80*Methodology!$E$10</f>
        <v>2.14</v>
      </c>
      <c r="P80" s="1" t="n">
        <f aca="false">1+(O80*2.25)</f>
        <v>5.815</v>
      </c>
      <c r="Q80" s="1" t="n">
        <f aca="false">ROUND(P80,0)</f>
        <v>6</v>
      </c>
      <c r="R80" s="1" t="s">
        <v>297</v>
      </c>
    </row>
    <row r="81" customFormat="false" ht="15" hidden="false" customHeight="false" outlineLevel="0" collapsed="false">
      <c r="A81" s="1" t="n">
        <v>2</v>
      </c>
      <c r="B81" s="1" t="s">
        <v>27</v>
      </c>
      <c r="C81" s="1" t="s">
        <v>298</v>
      </c>
      <c r="D81" s="1" t="s">
        <v>59</v>
      </c>
      <c r="E81" s="1" t="s">
        <v>299</v>
      </c>
      <c r="F81" s="1" t="s">
        <v>61</v>
      </c>
      <c r="G81" s="1" t="s">
        <v>61</v>
      </c>
      <c r="H81" s="1" t="n">
        <v>0.5</v>
      </c>
      <c r="I81" s="1" t="n">
        <v>0.3</v>
      </c>
      <c r="J81" s="1" t="n">
        <v>0.35</v>
      </c>
      <c r="K81" s="1" t="n">
        <v>0.3</v>
      </c>
      <c r="L81" s="1" t="n">
        <v>0.3</v>
      </c>
      <c r="M81" s="1" t="n">
        <v>0.35</v>
      </c>
      <c r="N81" s="1" t="n">
        <v>0.9</v>
      </c>
      <c r="O81" s="1" t="n">
        <f aca="false">H81*Methodology!$E$4+I81*Methodology!$E$5+J81*Methodology!$E$6+K81*Methodology!$E$7+L81*Methodology!$E$8+M81*Methodology!$E$9+N81*Methodology!$E$10</f>
        <v>0.405</v>
      </c>
      <c r="P81" s="1" t="n">
        <f aca="false">1+(O81*2.25)</f>
        <v>1.91125</v>
      </c>
      <c r="Q81" s="1" t="n">
        <f aca="false">ROUND(P81,0)</f>
        <v>2</v>
      </c>
      <c r="R81" s="1" t="s">
        <v>300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301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302</v>
      </c>
      <c r="D3" s="10" t="s">
        <v>303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15</v>
      </c>
      <c r="D5" s="11" t="n">
        <f aca="false">AVERAGEIF(Evaluations!$A$2:$A$200,A5,Evaluations!$P$2:$P$200)</f>
        <v>1.85725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16</v>
      </c>
      <c r="D6" s="11" t="n">
        <f aca="false">AVERAGEIF(Evaluations!$A$2:$A$200,A6,Evaluations!$P$2:$P$200)</f>
        <v>2.7342578125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21</v>
      </c>
      <c r="D7" s="11" t="n">
        <f aca="false">AVERAGEIF(Evaluations!$A$2:$A$200,A7,Evaluations!$P$2:$P$200)</f>
        <v>3.77232142857143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7</v>
      </c>
      <c r="D9" s="11" t="n">
        <f aca="false">AVERAGEIF(Evaluations!$A$2:$A$200,A9,Evaluations!$P$2:$P$200)</f>
        <v>5.98375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2</v>
      </c>
      <c r="D10" s="11" t="n">
        <f aca="false">AVERAGEIF(Evaluations!$A$2:$A$200,A10,Evaluations!$P$2:$P$200)</f>
        <v>7.305625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2026-07-30T16:39:38Z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