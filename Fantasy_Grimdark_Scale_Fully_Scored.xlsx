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<sst xmlns="http://schemas.openxmlformats.org/spreadsheetml/2006/main" count="635" uniqueCount="298">
  <si>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</si>
  <si>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</si>
  <si>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</si>
  <si>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</si>
  <si>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</si>
  <si>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</si>
  <si>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</si>
  <si>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</si>
  <si>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</si>
  <si>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</si>
  <si>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</si>
  <si>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</si>
  <si>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</si>
  <si>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</si>
  <si>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</si>
  <si>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</si>
  <si>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</si>
  <si>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</si>
  <si>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</si>
  <si>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</si>
  <si>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</si>
  <si>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</si>
  <si>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</si>
  <si>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</si>
  <si>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</si>
  <si>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</si>
  <si>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Wholesome Cozy Fantasy, Gentle Hopepunk &amp; Very Bright Fantasy</t>
  </si>
  <si>
    <t xml:space="preserve">Resilient Cozy Fantasy, Fierce Hopepunk &amp; Heroic Fantasy</t>
  </si>
  <si>
    <t xml:space="preserve">Balanced, Bittersweet Hopepunk or Melancholic Fantasy</t>
  </si>
  <si>
    <t xml:space="preserve">Fantasy in Gray Tones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</si>
  <si>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</si>
  <si>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</si>
  <si>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</si>
  <si>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</si>
  <si>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</si>
  <si>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</si>
  <si>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</si>
  <si>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</si>
  <si>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</si>
  <si>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</si>
  <si>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</si>
  <si>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</si>
  <si>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</si>
  <si>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</si>
  <si>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</si>
  <si>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</si>
  <si>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</si>
  <si>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</si>
  <si>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</si>
  <si>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</si>
  <si>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</si>
  <si>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</si>
  <si>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</si>
  <si>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</si>
  <si>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</si>
  <si>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</si>
  <si>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</si>
  <si>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</si>
  <si>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</si>
  <si>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</si>
  <si>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</si>
  <si>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</si>
  <si>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</si>
  <si>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</si>
  <si>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</si>
  <si>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</si>
  <si>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</si>
  <si>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</si>
  <si>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</si>
  <si>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</si>
  <si>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</si>
  <si>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</si>
  <si>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</si>
  <si>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</si>
  <si>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</si>
  <si>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</si>
  <si>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</si>
  <si>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</si>
  <si>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</si>
  <si>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</si>
  <si>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</si>
  <si>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</si>
  <si>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</si>
  <si>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</si>
  <si>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</si>
  <si>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</si>
  <si>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</si>
  <si>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</si>
  <si>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</si>
  <si>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</si>
  <si>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</si>
  <si>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</si>
  <si>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</si>
  <si>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</si>
  <si>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</si>
  <si>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</si>
  <si>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</si>
  <si>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</si>
  <si>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</si>
  <si>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</si>
  <si>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</si>
  <si>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</si>
  <si>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</si>
  <si>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</si>
  <si>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</si>
  <si>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</si>
  <si>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</si>
  <si>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</si>
  <si>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</si>
  <si>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</si>
  <si>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</si>
  <si>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</si>
  <si>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</si>
  <si>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</si>
  <si>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</si>
  <si>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</si>
  <si>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</si>
  <si>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</si>
  <si>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</si>
  <si>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</si>
  <si>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</si>
  <si>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</si>
  <si>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</si>
  <si>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</si>
  <si>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</si>
  <si>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</si>
  <si>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</si>
  <si>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</si>
  <si>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</si>
  <si>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</si>
  <si>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</si>
  <si>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</si>
  <si>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</si>
  <si>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</si>
  <si>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</si>
  <si>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</si>
  <si>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</si>
  <si>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</si>
  <si>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</si>
  <si>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</si>
  <si>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</si>
  <si>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</si>
  <si>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</si>
  <si>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</si>
  <si>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</si>
  <si>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</si>
  <si>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</si>
  <si>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</si>
  <si>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</si>
  <si>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</si>
  <si>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</si>
  <si>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</si>
  <si>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</si>
  <si>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</si>
  <si>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</si>
  <si>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</si>
  <si>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</si>
  <si>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</si>
  <si>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</si>
  <si>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</si>
  <si>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</si>
  <si>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</si>
  <si>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</si>
  <si>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</si>
  <si>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</si>
  <si>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</si>
  <si>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</si>
  <si>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</si>
  <si>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</si>
  <si>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</si>
  <si>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</si>
  <si>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</si>
  <si>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</si>
  <si>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</si>
  <si>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</si>
  <si>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</si>
  <si>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</si>
  <si>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</si>
  <si>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</si>
  <si>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</si>
  <si>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</si>
  <si>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</si>
  <si>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</si>
  <si>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</si>
  <si>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</si>
  <si>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</si>
  <si>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</si>
  <si>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</si>
  <si>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</si>
  <si>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</si>
  <si>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</si>
  <si>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</si>
  <si>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</si>
  <si>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</si>
  <si>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</si>
  <si>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</si>
  <si>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</si>
  <si>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</si>
  <si>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</si>
  <si>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</si>
  <si>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</si>
  <si>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</si>
  <si>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</si>
  <si>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</si>
  <si>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</si>
  <si>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</si>
  <si>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</si>
  <si>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</si>
  <si>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</si>
  <si>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</si>
  <si>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</si>
  <si>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</si>
  <si>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</si>
  <si>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</si>
  <si>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</si>
  <si>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</si>
  <si>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</si>
  <si>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</si>
  <si>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</si>
  <si>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</si>
  <si>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</si>
  <si>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</si>
  <si>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</si>
  <si>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</si>
  <si>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</si>
  <si>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</si>
  <si>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</si>
  <si>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</si>
  <si>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</si>
  <si>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</si>
  <si>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</si>
  <si>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</si>
  <si>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</si>
  <si>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</si>
  <si>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</si>
  <si>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</si>
  <si>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</si>
  <si>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</si>
  <si>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</si>
  <si>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</si>
  <si>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</si>
  <si>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</si>
  <si>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</si>
  <si>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</si>
  <si>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</si>
  <si>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</si>
  <si>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</si>
  <si>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</si>
  <si>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</si>
  <si>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</si>
  <si>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</si>
  <si>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</si>
  <si>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</si>
  <si>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</si>
  <si>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</si>
  <si>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</si>
  <si>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</si>
  <si>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</si>
  <si>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</si>
  <si>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</si>
  <si>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</si>
  <si>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</si>
  <si>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</si>
  <si>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</si>
  <si>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</si>
  <si>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</si>
  <si>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</si>
  <si>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</si>
  <si>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</si>
  <si>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</si>
  <si>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</si>
  <si>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</si>
  <si>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</si>
  <si>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</si>
  <si>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</si>
  <si>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</si>
  <si>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</si>
  <si>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</si>
  <si>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</si>
  <si>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</si>
  <si>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</si>
  <si>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Adventure Time</t>
  </si>
  <si>
    <t xml:space="preserve">TV / Comics</t>
  </si>
  <si>
    <t xml:space="preserve">Pendleton Ward</t>
  </si>
  <si>
    <t xml:space="preserve">The post-Mushroom-War setting and Ice King's tragic loss of self add real melancholy, but whimsical humor and consistently effective heroism keep the tone gentle overall.</t>
  </si>
  <si>
    <t xml:space="preserve">Star vs. the Forces of Evil</t>
  </si>
  <si>
    <t xml:space="preserve">Daron Nefcy</t>
  </si>
  <si>
    <t xml:space="preserve">Generations of Mewman genocide against Monsters drive the later seasons, and the finale resolves the conflict by erasing magic outright rather than reforming the system — heavier than most gray-tones peers, though Star's reconciliation arc and the show's comedic early seasons keep real hope in the frame.</t>
  </si>
  <si>
    <t xml:space="preserve">Clevatess</t>
  </si>
  <si>
    <t xml:space="preserve">Yūji Iwahara</t>
  </si>
  <si>
    <t xml:space="preserve">A demon king raising a human infant instead of annihilating humanity is genuinely tender, but the surrounding world is severe — infant trafficking and experimentation, and a named character's backstory of sustained abuse push explicit darkness above most of this tier.</t>
  </si>
  <si>
    <t xml:space="preserve">The Saga of Tanya the Evil</t>
  </si>
  <si>
    <t xml:space="preserve">Light Novels / Manga / Anime / Film</t>
  </si>
  <si>
    <t xml:space="preserve">Carlo Zen</t>
  </si>
  <si>
    <t xml:space="preserve">A reincarnated corporate pragmatist becomes a ruthlessly effective officer in a magic-augmented World War I that never ends; the satire's thesis is that cynicism outperforms idealism, and neither Tanya nor the war itself ever really changes.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</si>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</sst>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16</c:v>
                </c:pt>
                <c:pt idx="3">
                  <c:v>21</c:v>
                </c:pt>
                <c:pt idx="4">
                  <c:v>9</c:v>
                </c:pt>
                <c:pt idx="5">
                  <c:v>6</c:v>
                </c:pt>
                <c:pt idx="6">
                  <c:v>2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80746475"/>
        <c:axId val="19812678"/>
      </c:barChart>
      <c:catAx>
        <c:axId val="8074647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9812678"/>
        <c:crosses val="autoZero"/>
        <c:auto val="1"/>
        <c:lblAlgn val="ctr"/>
        <c:lblOffset val="100"/>
        <c:noMultiLvlLbl val="0"/>
      </c:catAx>
      <c:valAx>
        <c:axId val="1981267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07464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606240</xdr:colOff>
      <xdr:row>19</xdr:row>
      <xdr:rowOff>185400</xdr:rowOff>
    </xdr:to>
    <xdr:graphicFrame>
      <xdr:nvGraphicFramePr>
        <xdr:cNvPr id="1" name="Chart 1"/>
        <xdr:cNvGraphicFramePr/>
      </xdr:nvGraphicFramePr>
      <xdr:xfrm>
        <a:off x="7518960" y="438120"/>
        <a:ext cx="4887000" cy="342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true" outlineLevel="0" collapsed="false">
      <c r="A26" s="1" t="s">
        <v>36</v>
      </c>
      <c r="B26" s="1" t="s">
        <v>37</v>
      </c>
    </row>
    <row r="27" customFormat="false" ht="15" hidden="false" customHeight="true" outlineLevel="0" collapsed="false">
      <c r="A27" s="1" t="s">
        <v>38</v>
      </c>
      <c r="B27" s="1" t="s">
        <v>39</v>
      </c>
    </row>
    <row r="28" customFormat="false" ht="15" hidden="false" customHeight="true" outlineLevel="0" collapsed="false">
      <c r="A28" s="1" t="s">
        <v>40</v>
      </c>
    </row>
    <row r="29" customFormat="false" ht="15" hidden="false" customHeight="true" outlineLevel="0" collapsed="false">
      <c r="A29" s="1" t="s">
        <v>41</v>
      </c>
      <c r="B29" s="1" t="s">
        <v>42</v>
      </c>
    </row>
    <row r="30" customFormat="false" ht="15" hidden="false" customHeight="true" outlineLevel="0" collapsed="false">
      <c r="A30" s="1" t="s">
        <v>43</v>
      </c>
      <c r="B30" s="1" t="s">
        <v>44</v>
      </c>
    </row>
    <row r="31" customFormat="false" ht="15" hidden="false" customHeight="true" outlineLevel="0" collapsed="false">
      <c r="A31" s="1" t="s">
        <v>45</v>
      </c>
      <c r="B31" s="1" t="s">
        <v>46</v>
      </c>
    </row>
    <row r="32" customFormat="false" ht="15" hidden="false" customHeight="tru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  <row r="76" customFormat="false" ht="15" hidden="false" customHeight="true" outlineLevel="0" collapsed="false">
      <c r="A76" s="1" t="n">
        <v>3</v>
      </c>
      <c r="B76" s="1" t="s">
        <v>28</v>
      </c>
      <c r="C76" s="1" t="s">
        <v>281</v>
      </c>
      <c r="D76" s="1" t="s">
        <v>282</v>
      </c>
      <c r="E76" s="1" t="s">
        <v>283</v>
      </c>
      <c r="F76" s="1" t="s">
        <v>61</v>
      </c>
      <c r="G76" s="1" t="s">
        <v>61</v>
      </c>
      <c r="H76" s="1" t="n">
        <v>0.85</v>
      </c>
      <c r="I76" s="1" t="n">
        <v>0.75</v>
      </c>
      <c r="J76" s="1" t="n">
        <v>0.6</v>
      </c>
      <c r="K76" s="1" t="n">
        <v>0.85</v>
      </c>
      <c r="L76" s="1" t="n">
        <v>0.55</v>
      </c>
      <c r="M76" s="1" t="n">
        <v>0.6</v>
      </c>
      <c r="N76" s="1" t="n">
        <v>1.15</v>
      </c>
      <c r="O76" s="1" t="n">
        <f aca="false">H76*Methodology!$E$4+I76*Methodology!$E$5+J76*Methodology!$E$6+K76*Methodology!$E$7+L76*Methodology!$E$8+M76*Methodology!$E$9+N76*Methodology!$E$10</f>
        <v>0.745</v>
      </c>
      <c r="P76" s="1" t="n">
        <f aca="false">1+(O76*2.25)</f>
        <v>2.67625</v>
      </c>
      <c r="Q76" s="1" t="n">
        <f aca="false">ROUND(P76,0)</f>
        <v>3</v>
      </c>
      <c r="R76" s="1" t="s">
        <v>284</v>
      </c>
    </row>
    <row r="77" customFormat="false" ht="15" hidden="false" customHeight="true" outlineLevel="0" collapsed="false">
      <c r="A77" s="1" t="n">
        <v>4</v>
      </c>
      <c r="B77" s="1" t="s">
        <v>29</v>
      </c>
      <c r="C77" s="1" t="s">
        <v>285</v>
      </c>
      <c r="D77" s="1" t="s">
        <v>282</v>
      </c>
      <c r="E77" s="1" t="s">
        <v>286</v>
      </c>
      <c r="F77" s="1" t="s">
        <v>61</v>
      </c>
      <c r="G77" s="1" t="s">
        <v>61</v>
      </c>
      <c r="H77" s="1" t="n">
        <v>1.3</v>
      </c>
      <c r="I77" s="1" t="n">
        <v>1.15</v>
      </c>
      <c r="J77" s="1" t="n">
        <v>1</v>
      </c>
      <c r="K77" s="1" t="n">
        <v>1.5</v>
      </c>
      <c r="L77" s="1" t="n">
        <v>1</v>
      </c>
      <c r="M77" s="1" t="n">
        <v>1.2</v>
      </c>
      <c r="N77" s="1" t="n">
        <v>1.5</v>
      </c>
      <c r="O77" s="1" t="n">
        <f aca="false">H77*Methodology!$E$4+I77*Methodology!$E$5+J77*Methodology!$E$6+K77*Methodology!$E$7+L77*Methodology!$E$8+M77*Methodology!$E$9+N77*Methodology!$E$10</f>
        <v>1.2225</v>
      </c>
      <c r="P77" s="1" t="n">
        <f aca="false">1+(O77*2.25)</f>
        <v>3.750625</v>
      </c>
      <c r="Q77" s="1" t="n">
        <f aca="false">ROUND(P77,0)</f>
        <v>4</v>
      </c>
      <c r="R77" s="1" t="s">
        <v>287</v>
      </c>
    </row>
    <row r="78" customFormat="false" ht="15" hidden="false" customHeight="true" outlineLevel="0" collapsed="false">
      <c r="A78" s="1" t="n">
        <v>6</v>
      </c>
      <c r="B78" s="1" t="s">
        <v>31</v>
      </c>
      <c r="C78" s="1" t="s">
        <v>288</v>
      </c>
      <c r="D78" s="1" t="s">
        <v>129</v>
      </c>
      <c r="E78" s="1" t="s">
        <v>289</v>
      </c>
      <c r="F78" s="1" t="s">
        <v>61</v>
      </c>
      <c r="G78" s="1" t="s">
        <v>61</v>
      </c>
      <c r="H78" s="1" t="n">
        <v>2.1</v>
      </c>
      <c r="I78" s="1" t="n">
        <v>1.9</v>
      </c>
      <c r="J78" s="1" t="n">
        <v>2.2</v>
      </c>
      <c r="K78" s="1" t="n">
        <v>2.4</v>
      </c>
      <c r="L78" s="1" t="n">
        <v>1.7</v>
      </c>
      <c r="M78" s="1" t="n">
        <v>2</v>
      </c>
      <c r="N78" s="1" t="n">
        <v>3.1</v>
      </c>
      <c r="O78" s="1" t="n">
        <f aca="false">H78*Methodology!$E$4+I78*Methodology!$E$5+J78*Methodology!$E$6+K78*Methodology!$E$7+L78*Methodology!$E$8+M78*Methodology!$E$9+N78*Methodology!$E$10</f>
        <v>2.155</v>
      </c>
      <c r="P78" s="1" t="n">
        <f aca="false">1+(O78*2.25)</f>
        <v>5.84875</v>
      </c>
      <c r="Q78" s="1" t="n">
        <f aca="false">ROUND(P78,0)</f>
        <v>6</v>
      </c>
      <c r="R78" s="1" t="s">
        <v>290</v>
      </c>
    </row>
    <row r="79" customFormat="false" ht="15" hidden="false" customHeight="false" outlineLevel="0" collapsed="false">
      <c r="A79" s="1" t="n">
        <v>7</v>
      </c>
      <c r="B79" s="1" t="s">
        <v>32</v>
      </c>
      <c r="C79" s="1" t="s">
        <v>291</v>
      </c>
      <c r="D79" s="1" t="s">
        <v>292</v>
      </c>
      <c r="E79" s="1" t="s">
        <v>293</v>
      </c>
      <c r="F79" s="1" t="s">
        <v>61</v>
      </c>
      <c r="G79" s="1" t="s">
        <v>61</v>
      </c>
      <c r="H79" s="1" t="n">
        <v>2.5</v>
      </c>
      <c r="I79" s="1" t="n">
        <v>2.8</v>
      </c>
      <c r="J79" s="1" t="n">
        <v>3.1</v>
      </c>
      <c r="K79" s="1" t="n">
        <v>2.7</v>
      </c>
      <c r="L79" s="1" t="n">
        <v>2.8</v>
      </c>
      <c r="M79" s="1" t="n">
        <v>2.7</v>
      </c>
      <c r="N79" s="1" t="n">
        <v>3.1</v>
      </c>
      <c r="O79" s="1" t="n">
        <f aca="false">H79*Methodology!$E$4+I79*Methodology!$E$5+J79*Methodology!$E$6+K79*Methodology!$E$7+L79*Methodology!$E$8+M79*Methodology!$E$9+N79*Methodology!$E$10</f>
        <v>2.8</v>
      </c>
      <c r="P79" s="1" t="n">
        <f aca="false">1+(O79*2.25)</f>
        <v>7.3</v>
      </c>
      <c r="Q79" s="1" t="n">
        <f aca="false">ROUND(P79,0)</f>
        <v>7</v>
      </c>
      <c r="R79" s="1" t="s">
        <v>294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295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296</v>
      </c>
      <c r="D3" s="10" t="s">
        <v>297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16</v>
      </c>
      <c r="D6" s="11" t="n">
        <f aca="false">AVERAGEIF(Evaluations!$A$2:$A$200,A6,Evaluations!$P$2:$P$200)</f>
        <v>2.7342578125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21</v>
      </c>
      <c r="D7" s="11" t="n">
        <f aca="false">AVERAGEIF(Evaluations!$A$2:$A$200,A7,Evaluations!$P$2:$P$200)</f>
        <v>3.77232142857143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6</v>
      </c>
      <c r="D9" s="11" t="n">
        <f aca="false">AVERAGEIF(Evaluations!$A$2:$A$200,A9,Evaluations!$P$2:$P$200)</f>
        <v>6.011875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2</v>
      </c>
      <c r="D10" s="11" t="n">
        <f aca="false">AVERAGEIF(Evaluations!$A$2:$A$200,A10,Evaluations!$P$2:$P$200)</f>
        <v>7.305625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2026-07-30T15:30:01Z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