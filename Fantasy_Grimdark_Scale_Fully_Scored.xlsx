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<sst xmlns="http://schemas.openxmlformats.org/spreadsheetml/2006/main" count="656" uniqueCount="307">
  <si>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</si>
  <si>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</si>
  <si>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</si>
  <si>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</si>
  <si>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</si>
  <si>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</si>
  <si>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</si>
  <si>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</si>
  <si>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</si>
  <si>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</si>
  <si>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</si>
  <si>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</si>
  <si>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</si>
  <si>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</si>
  <si>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</si>
  <si>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</si>
  <si>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</si>
  <si>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</si>
  <si>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</si>
  <si>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</si>
  <si>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</si>
  <si>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</si>
  <si>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</si>
  <si>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</si>
  <si>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</si>
  <si>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</si>
  <si>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</si>
  <si>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</si>
  <si>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</si>
  <si>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</si>
  <si>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</si>
  <si>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</si>
  <si>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Extreme Dark Fantasy</t>
  </si>
  <si>
    <t xml:space="preserve">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</si>
  <si>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</si>
  <si>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</si>
  <si>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</si>
  <si>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</si>
  <si>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</si>
  <si>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</si>
  <si>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</si>
  <si>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</si>
  <si>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</si>
  <si>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</si>
  <si>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</si>
  <si>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</si>
  <si>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</si>
  <si>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</si>
  <si>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</si>
  <si>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</si>
  <si>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</si>
  <si>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</si>
  <si>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</si>
  <si>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</si>
  <si>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</si>
  <si>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</si>
  <si>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</si>
  <si>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</si>
  <si>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</si>
  <si>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</si>
  <si>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</si>
  <si>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</si>
  <si>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</si>
  <si>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</si>
  <si>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</si>
  <si>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</si>
  <si>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</si>
  <si>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</si>
  <si>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</si>
  <si>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</si>
  <si>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</si>
  <si>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</si>
  <si>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</si>
  <si>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</si>
  <si>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</si>
  <si>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</si>
  <si>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</si>
  <si>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</si>
  <si>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</si>
  <si>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</si>
  <si>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</si>
  <si>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</si>
  <si>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</si>
  <si>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</si>
  <si>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</si>
  <si>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</si>
  <si>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</si>
  <si>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</si>
  <si>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</si>
  <si>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</si>
  <si>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</si>
  <si>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</si>
  <si>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</si>
  <si>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</si>
  <si>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</si>
  <si>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</si>
  <si>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</si>
  <si>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</si>
  <si>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</si>
  <si>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</si>
  <si>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</si>
  <si>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</si>
  <si>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</si>
  <si>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</si>
  <si>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</si>
  <si>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</si>
  <si>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</si>
  <si>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</si>
  <si>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</si>
  <si>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</si>
  <si>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</si>
  <si>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</si>
  <si>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</si>
  <si>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</si>
  <si>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</si>
  <si>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</si>
  <si>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</si>
  <si>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</si>
  <si>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</si>
  <si>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</si>
  <si>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</si>
  <si>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</si>
  <si>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</si>
  <si>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</si>
  <si>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</si>
  <si>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</si>
  <si>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</si>
  <si>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</si>
  <si>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</si>
  <si>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</si>
  <si>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</si>
  <si>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</si>
  <si>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</si>
  <si>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</si>
  <si>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</si>
  <si>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</si>
  <si>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</si>
  <si>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</si>
  <si>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</si>
  <si>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</si>
  <si>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</si>
  <si>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</si>
  <si>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</si>
  <si>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</si>
  <si>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</si>
  <si>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</si>
  <si>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</si>
  <si>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</si>
  <si>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</si>
  <si>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</si>
  <si>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</si>
  <si>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</si>
  <si>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</si>
  <si>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</si>
  <si>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</si>
  <si>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</si>
  <si>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</si>
  <si>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</si>
  <si>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</si>
  <si>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</si>
  <si>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</si>
  <si>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</si>
  <si>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</si>
  <si>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</si>
  <si>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</si>
  <si>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</si>
  <si>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</si>
  <si>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</si>
  <si>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</si>
  <si>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</si>
  <si>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</si>
  <si>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</si>
  <si>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</si>
  <si>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</si>
  <si>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</si>
  <si>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</si>
  <si>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</si>
  <si>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</si>
  <si>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</si>
  <si>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</si>
  <si>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</si>
  <si>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</si>
  <si>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</si>
  <si>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</si>
  <si>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</si>
  <si>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</si>
  <si>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</si>
  <si>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</si>
  <si>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</si>
  <si>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</si>
  <si>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</si>
  <si>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</si>
  <si>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</si>
  <si>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</si>
  <si>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</si>
  <si>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</si>
  <si>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</si>
  <si>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</si>
  <si>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</si>
  <si>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</si>
  <si>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</si>
  <si>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</si>
  <si>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</si>
  <si>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</si>
  <si>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</si>
  <si>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</si>
  <si>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</si>
  <si>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</si>
  <si>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</si>
  <si>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</si>
  <si>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</si>
  <si>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</si>
  <si>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</si>
  <si>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</si>
  <si>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</si>
  <si>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</si>
  <si>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</si>
  <si>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</si>
  <si>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</si>
  <si>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</si>
  <si>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</si>
  <si>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</si>
  <si>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</si>
  <si>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</si>
  <si>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</si>
  <si>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</si>
  <si>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</si>
  <si>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</si>
  <si>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</si>
  <si>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</si>
  <si>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</si>
  <si>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</si>
  <si>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</si>
  <si>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</si>
  <si>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</si>
  <si>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</si>
  <si>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</si>
  <si>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</si>
  <si>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</si>
  <si>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</si>
  <si>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</si>
  <si>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</si>
  <si>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</si>
  <si>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</si>
  <si>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</si>
  <si>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</si>
  <si>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</si>
  <si>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</si>
  <si>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</si>
  <si>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</si>
  <si>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</si>
  <si>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</si>
  <si>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</si>
  <si>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</si>
  <si>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</si>
  <si>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</si>
  <si>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</si>
  <si>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</si>
  <si>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</si>
  <si>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</si>
  <si>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</si>
  <si>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</si>
  <si>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</si>
  <si>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</si>
  <si>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</si>
  <si>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</si>
  <si>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</si>
  <si>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</si>
  <si>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</si>
  <si>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</si>
  <si>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</si>
  <si>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</si>
  <si>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</si>
  <si>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</si>
  <si>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</si>
  <si>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</si>
  <si>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</si>
  <si>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</si>
  <si>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</si>
  <si>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</si>
  <si>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</si>
  <si>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</si>
  <si>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</si>
  <si>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</si>
  <si>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</si>
  <si>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</si>
  <si>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</si>
  <si>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</si>
  <si>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</si>
  <si>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</si>
  <si>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</si>
  <si>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</si>
  <si>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</si>
  <si>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</si>
  <si>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</si>
  <si>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Re:Zero − Starting Life in Another World</t>
  </si>
  <si>
    <t xml:space="preserve">Tappei Nagatsuki</t>
  </si>
  <si>
    <t xml:space="preserve">Subaru's “Return by Death” turns failure into genuinely repeated, graphic trauma — among the most psychologically brutal content on this scale — but the loops consistently let heroism and hard-won found-family actually fix things, so it stays a story about earning growth through suffering rather than accepting defeat.</t>
  </si>
  <si>
    <t xml:space="preserve">Legend</t>
  </si>
  <si>
    <t xml:space="preserve">Ridley Scott</t>
  </si>
  <si>
    <t xml:space="preserve">A mythic, single-villain fairy tale rather than anything institutional: Darkness's gothic menace and the stallion unicorn's death carry real atmospheric horror, but heroism is straightforward and decisive, and Lili's temptation is treated as innocence exploited rather than culpability.</t>
  </si>
  <si>
    <t xml:space="preserve">The NeverEnding Story</t>
  </si>
  <si>
    <t xml:space="preserve">Michael Ende</t>
  </si>
  <si>
    <t xml:space="preserve">Scored against the full novel, not just the 1984 film (which only adapts the first half): Artax's death and the Nothing's nihilism are real, but the book's second half — Bastian's own descent into cruelty once granted unlimited wish-power, and the hard-won cost of finding his way back to himself — adds real moral cynicism and redemption difficulty the film omits entirely.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</si>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</sst>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16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25202197"/>
        <c:axId val="61689998"/>
      </c:barChart>
      <c:catAx>
        <c:axId val="2520219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1689998"/>
        <c:crosses val="autoZero"/>
        <c:auto val="1"/>
        <c:lblAlgn val="ctr"/>
        <c:lblOffset val="100"/>
        <c:noMultiLvlLbl val="0"/>
      </c:catAx>
      <c:valAx>
        <c:axId val="6168999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52021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604800</xdr:colOff>
      <xdr:row>19</xdr:row>
      <xdr:rowOff>183960</xdr:rowOff>
    </xdr:to>
    <xdr:graphicFrame>
      <xdr:nvGraphicFramePr>
        <xdr:cNvPr id="1" name="Chart 1"/>
        <xdr:cNvGraphicFramePr/>
      </xdr:nvGraphicFramePr>
      <xdr:xfrm>
        <a:off x="7518960" y="438120"/>
        <a:ext cx="4885560" cy="342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tru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  <row r="80" customFormat="false" ht="15" hidden="false" customHeight="true" outlineLevel="0" collapsed="false">
      <c r="A80" s="1" t="n">
        <v>6</v>
      </c>
      <c r="B80" s="1" t="s">
        <v>31</v>
      </c>
      <c r="C80" s="1" t="s">
        <v>295</v>
      </c>
      <c r="D80" s="1" t="s">
        <v>244</v>
      </c>
      <c r="E80" s="1" t="s">
        <v>296</v>
      </c>
      <c r="F80" s="1" t="s">
        <v>61</v>
      </c>
      <c r="G80" s="1" t="s">
        <v>61</v>
      </c>
      <c r="H80" s="1" t="n">
        <v>2.3</v>
      </c>
      <c r="I80" s="1" t="n">
        <v>1.8</v>
      </c>
      <c r="J80" s="1" t="n">
        <v>2.1</v>
      </c>
      <c r="K80" s="1" t="n">
        <v>2.3</v>
      </c>
      <c r="L80" s="1" t="n">
        <v>1.9</v>
      </c>
      <c r="M80" s="1" t="n">
        <v>1.8</v>
      </c>
      <c r="N80" s="1" t="n">
        <v>3.1</v>
      </c>
      <c r="O80" s="1" t="n">
        <f aca="false">H80*Methodology!$E$4+I80*Methodology!$E$5+J80*Methodology!$E$6+K80*Methodology!$E$7+L80*Methodology!$E$8+M80*Methodology!$E$9+N80*Methodology!$E$10</f>
        <v>2.14</v>
      </c>
      <c r="P80" s="1" t="n">
        <f aca="false">1+(O80*2.25)</f>
        <v>5.815</v>
      </c>
      <c r="Q80" s="1" t="n">
        <f aca="false">ROUND(P80,0)</f>
        <v>6</v>
      </c>
      <c r="R80" s="1" t="s">
        <v>297</v>
      </c>
    </row>
    <row r="81" customFormat="false" ht="15" hidden="false" customHeight="true" outlineLevel="0" collapsed="false">
      <c r="A81" s="1" t="n">
        <v>2</v>
      </c>
      <c r="B81" s="1" t="s">
        <v>27</v>
      </c>
      <c r="C81" s="1" t="s">
        <v>298</v>
      </c>
      <c r="D81" s="1" t="s">
        <v>59</v>
      </c>
      <c r="E81" s="1" t="s">
        <v>299</v>
      </c>
      <c r="F81" s="1" t="s">
        <v>61</v>
      </c>
      <c r="G81" s="1" t="s">
        <v>61</v>
      </c>
      <c r="H81" s="1" t="n">
        <v>0.5</v>
      </c>
      <c r="I81" s="1" t="n">
        <v>0.3</v>
      </c>
      <c r="J81" s="1" t="n">
        <v>0.35</v>
      </c>
      <c r="K81" s="1" t="n">
        <v>0.3</v>
      </c>
      <c r="L81" s="1" t="n">
        <v>0.3</v>
      </c>
      <c r="M81" s="1" t="n">
        <v>0.35</v>
      </c>
      <c r="N81" s="1" t="n">
        <v>0.9</v>
      </c>
      <c r="O81" s="1" t="n">
        <f aca="false">H81*Methodology!$E$4+I81*Methodology!$E$5+J81*Methodology!$E$6+K81*Methodology!$E$7+L81*Methodology!$E$8+M81*Methodology!$E$9+N81*Methodology!$E$10</f>
        <v>0.405</v>
      </c>
      <c r="P81" s="1" t="n">
        <f aca="false">1+(O81*2.25)</f>
        <v>1.91125</v>
      </c>
      <c r="Q81" s="1" t="n">
        <f aca="false">ROUND(P81,0)</f>
        <v>2</v>
      </c>
      <c r="R81" s="1" t="s">
        <v>300</v>
      </c>
    </row>
    <row r="82" customFormat="false" ht="15" hidden="false" customHeight="false" outlineLevel="0" collapsed="false">
      <c r="A82" s="1" t="n">
        <v>2</v>
      </c>
      <c r="B82" s="1" t="s">
        <v>27</v>
      </c>
      <c r="C82" s="1" t="s">
        <v>301</v>
      </c>
      <c r="D82" s="1" t="s">
        <v>88</v>
      </c>
      <c r="E82" s="1" t="s">
        <v>302</v>
      </c>
      <c r="F82" s="1" t="s">
        <v>61</v>
      </c>
      <c r="G82" s="1" t="s">
        <v>61</v>
      </c>
      <c r="H82" s="1" t="n">
        <v>0.6</v>
      </c>
      <c r="I82" s="1" t="n">
        <v>0.45</v>
      </c>
      <c r="J82" s="1" t="n">
        <v>0.5</v>
      </c>
      <c r="K82" s="1" t="n">
        <v>0.3</v>
      </c>
      <c r="L82" s="1" t="n">
        <v>0.5</v>
      </c>
      <c r="M82" s="1" t="n">
        <v>0.3</v>
      </c>
      <c r="N82" s="1" t="n">
        <v>0.95</v>
      </c>
      <c r="O82" s="1" t="n">
        <f aca="false">H82*Methodology!$E$4+I82*Methodology!$E$5+J82*Methodology!$E$6+K82*Methodology!$E$7+L82*Methodology!$E$8+M82*Methodology!$E$9+N82*Methodology!$E$10</f>
        <v>0.4925</v>
      </c>
      <c r="P82" s="1" t="n">
        <f aca="false">1+(O82*2.25)</f>
        <v>2.108125</v>
      </c>
      <c r="Q82" s="1" t="n">
        <f aca="false">ROUND(P82,0)</f>
        <v>2</v>
      </c>
      <c r="R82" s="1" t="s">
        <v>303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304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305</v>
      </c>
      <c r="D3" s="10" t="s">
        <v>306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16</v>
      </c>
      <c r="D5" s="11" t="n">
        <f aca="false">AVERAGEIF(Evaluations!$A$2:$A$200,A5,Evaluations!$P$2:$P$200)</f>
        <v>1.8729296875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7</v>
      </c>
      <c r="D9" s="11" t="n">
        <f aca="false">AVERAGEIF(Evaluations!$A$2:$A$200,A9,Evaluations!$P$2:$P$200)</f>
        <v>5.98375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2026-07-31T02:42:02Z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