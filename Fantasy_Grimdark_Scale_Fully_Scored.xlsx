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<sst xmlns="http://schemas.openxmlformats.org/spreadsheetml/2006/main" count="670" uniqueCount="314">
  <si>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</si>
  <si>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</si>
  <si>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</si>
  <si>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</si>
  <si>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</si>
  <si>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</si>
  <si>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</si>
  <si>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</si>
  <si>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</si>
  <si>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</si>
  <si>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</si>
  <si>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</si>
  <si>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</si>
  <si>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</si>
  <si>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</si>
  <si>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</si>
  <si>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</si>
  <si>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</si>
  <si>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</si>
  <si>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</si>
  <si>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</si>
  <si>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</si>
  <si>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</si>
  <si>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</si>
  <si>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</si>
  <si>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</si>
  <si>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Wholesome Cozy Fantasy, Gentle Hopepunk &amp; Very Bright Fantasy</t>
  </si>
  <si>
    <t xml:space="preserve">Resilient Cozy Fantasy, Fierce Hopepunk &amp; Heroic Fantasy</t>
  </si>
  <si>
    <t xml:space="preserve">Balanced, Bittersweet Hopepunk or Melancholic Fantasy</t>
  </si>
  <si>
    <t xml:space="preserve">Fantasy in Gray Tones</t>
  </si>
  <si>
    <t xml:space="preserve">Gloomy Fantasy</t>
  </si>
  <si>
    <t xml:space="preserve">Dark Fantasy</t>
  </si>
  <si>
    <t xml:space="preserve">Extreme Dark Fantasy</t>
  </si>
  <si>
    <t xml:space="preserve">Grimdark</t>
  </si>
  <si>
    <t xml:space="preserve">Extreme Grimdark</t>
  </si>
  <si>
    <t xml:space="preserve">Very Extreme Grimdark</t>
  </si>
  <si>
    <t xml:space="preserve">Cozy Fantasy / Hopepunk columns</t>
  </si>
  <si>
    <t xml:space="preserve">Descriptive tags only -- excluded from the Weighted Internal Score / Calculated Score formula on purpose. Genre stance toward darkness is not the same as amount of darkness (e.g. Avatar: The Last Airbender is tagged Hopepunk but depicts real war and genocide).</t>
  </si>
  <si>
    <t xml:space="preserve">Cozy Fantasy = Yes requires</t>
  </si>
  <si>
    <t xml:space="preserve">Genuinely part of that specific book-publishing genre movement (comfort-focused, low-stakes, community/found-family), not just "has a cozy feeling."</t>
  </si>
  <si>
    <t xml:space="preserve">Hopepunk = Yes requires one of three variants</t>
  </si>
  <si>
    <t xml:space="preserve">  Gentle</t>
  </si>
  <si>
    <t xml:space="preserve">No real adversity needed -- kindness/community/anti-cynicism as the default, deliberately-valued state of the world (e.g. Totoro, Legends &amp; Lattes).</t>
  </si>
  <si>
    <t xml:space="preserve">  Fierce</t>
  </si>
  <si>
    <t xml:space="preserve">Real external/societal adversity (an oppressive system, empire, institution) + hope/kindness as active resistance to it (e.g. The House in the Cerulean Sea, Avatar: The Last Airbender).</t>
  </si>
  <si>
    <t xml:space="preserve">  Bittersweet</t>
  </si>
  <si>
    <t xml:space="preserve">Real existential adversity (mortality, loss, the passage of time -- not politically "resistable") + connection/kindness deliberately chosen anyway, knowing it will cost grief later (e.g. Frieren).</t>
  </si>
  <si>
    <t xml:space="preserve">Not sufficient for any variant</t>
  </si>
  <si>
    <t xml:space="preserve">Simply having a hopeful tone or a happy ending. Most tier 1-4 works are correctly Hopepunk = No.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</si>
  <si>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</si>
  <si>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</si>
  <si>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</si>
  <si>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</si>
  <si>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</si>
  <si>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</si>
  <si>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</si>
  <si>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</si>
  <si>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</si>
  <si>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</si>
  <si>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</si>
  <si>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</si>
  <si>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No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</si>
  <si>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</si>
  <si>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</si>
  <si>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</si>
  <si>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</si>
  <si>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</si>
  <si>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</si>
  <si>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</si>
  <si>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</si>
  <si>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</si>
  <si>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</si>
  <si>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</si>
  <si>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</si>
  <si>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</si>
  <si>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</si>
  <si>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</si>
  <si>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</si>
  <si>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</si>
  <si>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</si>
  <si>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</si>
  <si>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</si>
  <si>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</si>
  <si>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</si>
  <si>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</si>
  <si>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</si>
  <si>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</si>
  <si>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</si>
  <si>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</si>
  <si>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</si>
  <si>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</si>
  <si>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</si>
  <si>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</si>
  <si>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</si>
  <si>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</si>
  <si>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</si>
  <si>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</si>
  <si>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</si>
  <si>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</si>
  <si>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</si>
  <si>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</si>
  <si>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</si>
  <si>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</si>
  <si>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</si>
  <si>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</si>
  <si>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</si>
  <si>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</si>
  <si>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</si>
  <si>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</si>
  <si>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</si>
  <si>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</si>
  <si>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</si>
  <si>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</si>
  <si>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</si>
  <si>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</si>
  <si>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</si>
  <si>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</si>
  <si>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</si>
  <si>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</si>
  <si>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</si>
  <si>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</si>
  <si>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</si>
  <si>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</si>
  <si>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</si>
  <si>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</si>
  <si>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</si>
  <si>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</si>
  <si>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</si>
  <si>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</si>
  <si>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</si>
  <si>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</si>
  <si>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</si>
  <si>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</si>
  <si>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</si>
  <si>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</si>
  <si>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</si>
  <si>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</si>
  <si>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</si>
  <si>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</si>
  <si>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</si>
  <si>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</si>
  <si>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</si>
  <si>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</si>
  <si>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</si>
  <si>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</si>
  <si>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</si>
  <si>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</si>
  <si>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</si>
  <si>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</si>
  <si>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</si>
  <si>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</si>
  <si>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</si>
  <si>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</si>
  <si>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</si>
  <si>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</si>
  <si>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</si>
  <si>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</si>
  <si>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</si>
  <si>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</si>
  <si>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</si>
  <si>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</si>
  <si>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</si>
  <si>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</si>
  <si>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</si>
  <si>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</si>
  <si>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</si>
  <si>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</si>
  <si>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</si>
  <si>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</si>
  <si>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</si>
  <si>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</si>
  <si>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</si>
  <si>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</si>
  <si>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</si>
  <si>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</si>
  <si>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</si>
  <si>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</si>
  <si>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</si>
  <si>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</si>
  <si>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</si>
  <si>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</si>
  <si>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</si>
  <si>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</si>
  <si>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</si>
  <si>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</si>
  <si>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</si>
  <si>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</si>
  <si>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</si>
  <si>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</si>
  <si>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</si>
  <si>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</si>
  <si>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</si>
  <si>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</si>
  <si>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</si>
  <si>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</si>
  <si>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</si>
  <si>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</si>
  <si>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</si>
  <si>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</si>
  <si>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</si>
  <si>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</si>
  <si>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</si>
  <si>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</si>
  <si>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</si>
  <si>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</si>
  <si>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</si>
  <si>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</si>
  <si>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</si>
  <si>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</si>
  <si>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</si>
  <si>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</si>
  <si>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</si>
  <si>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</si>
  <si>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</si>
  <si>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</si>
  <si>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</si>
  <si>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</si>
  <si>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</si>
  <si>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</si>
  <si>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</si>
  <si>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</si>
  <si>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</si>
  <si>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</si>
  <si>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</si>
  <si>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</si>
  <si>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</si>
  <si>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</si>
  <si>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</si>
  <si>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</si>
  <si>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</si>
  <si>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</si>
  <si>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</si>
  <si>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</si>
  <si>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</si>
  <si>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</si>
  <si>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</si>
  <si>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</si>
  <si>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</si>
  <si>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</si>
  <si>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</si>
  <si>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</si>
  <si>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</si>
  <si>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</si>
  <si>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</si>
  <si>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</si>
  <si>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</si>
  <si>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</si>
  <si>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</si>
  <si>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</si>
  <si>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</si>
  <si>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</si>
  <si>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</si>
  <si>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</si>
  <si>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</si>
  <si>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</si>
  <si>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</si>
  <si>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</si>
  <si>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</si>
  <si>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</si>
  <si>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</si>
  <si>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</si>
  <si>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</si>
  <si>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</si>
  <si>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</si>
  <si>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</si>
  <si>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</si>
  <si>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</si>
  <si>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</si>
  <si>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</si>
  <si>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</si>
  <si>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</si>
  <si>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</si>
  <si>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</si>
  <si>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</si>
  <si>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</si>
  <si>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</si>
  <si>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</si>
  <si>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</si>
  <si>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</si>
  <si>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</si>
  <si>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</si>
  <si>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Adventure Time</t>
  </si>
  <si>
    <t xml:space="preserve">TV / Comics</t>
  </si>
  <si>
    <t xml:space="preserve">Pendleton Ward</t>
  </si>
  <si>
    <t xml:space="preserve">The post-Mushroom-War setting and Ice King's tragic loss of self add real melancholy, but whimsical humor and consistently effective heroism keep the tone gentle overall.</t>
  </si>
  <si>
    <t xml:space="preserve">Star vs. the Forces of Evil</t>
  </si>
  <si>
    <t xml:space="preserve">Daron Nefcy</t>
  </si>
  <si>
    <t xml:space="preserve">Generations of Mewman genocide against Monsters drive the later seasons, and the finale resolves the conflict by erasing magic outright rather than reforming the system — heavier than most gray-tones peers, though Star's reconciliation arc and the show's comedic early seasons keep real hope in the frame.</t>
  </si>
  <si>
    <t xml:space="preserve">Clevatess</t>
  </si>
  <si>
    <t xml:space="preserve">Yūji Iwahara</t>
  </si>
  <si>
    <t xml:space="preserve">A demon king raising a human infant instead of annihilating humanity is genuinely tender, but the surrounding world is severe — infant trafficking and experimentation, and a named character's backstory of sustained abuse push explicit darkness above most of this tier.</t>
  </si>
  <si>
    <t xml:space="preserve">The Saga of Tanya the Evil</t>
  </si>
  <si>
    <t xml:space="preserve">Light Novels / Manga / Anime / Film</t>
  </si>
  <si>
    <t xml:space="preserve">Carlo Zen</t>
  </si>
  <si>
    <t xml:space="preserve">A reincarnated corporate pragmatist becomes a ruthlessly effective officer in a magic-augmented World War I that never ends; the satire's thesis is that cynicism outperforms idealism, and neither Tanya nor the war itself ever really changes.</t>
  </si>
  <si>
    <t xml:space="preserve">Re:Zero − Starting Life in Another World</t>
  </si>
  <si>
    <t xml:space="preserve">Tappei Nagatsuki</t>
  </si>
  <si>
    <t xml:space="preserve">Subaru's “Return by Death” turns failure into genuinely repeated, graphic trauma — among the most psychologically brutal content on this scale — but the loops consistently let heroism and hard-won found-family actually fix things, so it stays a story about earning growth through suffering rather than accepting defeat.</t>
  </si>
  <si>
    <t xml:space="preserve">Legend</t>
  </si>
  <si>
    <t xml:space="preserve">Ridley Scott</t>
  </si>
  <si>
    <t xml:space="preserve">A mythic, single-villain fairy tale rather than anything institutional: Darkness's gothic menace and the stallion unicorn's death carry real atmospheric horror, but heroism is straightforward and decisive, and Lili's temptation is treated as innocence exploited rather than culpability.</t>
  </si>
  <si>
    <t xml:space="preserve">The NeverEnding Story</t>
  </si>
  <si>
    <t xml:space="preserve">Michael Ende</t>
  </si>
  <si>
    <t xml:space="preserve">Scored against the full novel, not just the 1984 film (which only adapts the first half): Artax's death and the Nothing's nihilism are real, but the book's second half — Bastian's own descent into cruelty once granted unlimited wish-power, and the hard-won cost of finding his way back to himself — adds real moral cynicism and redemption difficulty the film omits entirely.</t>
  </si>
  <si>
    <t xml:space="preserve">Shin Sekai Yori (From the New World)</t>
  </si>
  <si>
    <t xml:space="preserve">Novel / Anime</t>
  </si>
  <si>
    <t xml:space="preserve">Yusuke Kishi</t>
  </si>
  <si>
    <t xml:space="preserve">A seemingly idyllic future society is built on secret child eugenics (killing children flagged as psychologically “unstable”) and the enslavement/extermination of the Queerats, who turn out to be humanity's own left-behind kin; the protagonists win a tactical victory but explicitly fail to dismantle the totalitarian system, which persists unchanged at the end.</t>
  </si>
  <si>
    <t xml:space="preserve">Mushishi</t>
  </si>
  <si>
    <t xml:space="preserve">Yuki Urushibara</t>
  </si>
  <si>
    <t xml:space="preserve">An anthology of quiet, often irreversible personal tragedy (permanent loss of a limb, a mother's death, lasting grief) rather than institutional darkness — there's no villain, no war, no system to critique, just impermanence met with care. Bittersweet Hopepunk: arguably the purest fit on this scale, since mortality-and-connection-anyway is the show's entire structure, not a framing device.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</si>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</sst>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17</c:v>
                </c:pt>
                <c:pt idx="2">
                  <c:v>16</c:v>
                </c:pt>
                <c:pt idx="3">
                  <c:v>21</c:v>
                </c:pt>
                <c:pt idx="4">
                  <c:v>9</c:v>
                </c:pt>
                <c:pt idx="5">
                  <c:v>7</c:v>
                </c:pt>
                <c:pt idx="6">
                  <c:v>2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74498014"/>
        <c:axId val="21620591"/>
      </c:barChart>
      <c:catAx>
        <c:axId val="74498014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1620591"/>
        <c:crosses val="autoZero"/>
        <c:auto val="1"/>
        <c:lblAlgn val="ctr"/>
        <c:lblOffset val="100"/>
        <c:noMultiLvlLbl val="0"/>
      </c:catAx>
      <c:valAx>
        <c:axId val="21620591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449801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604080</xdr:colOff>
      <xdr:row>19</xdr:row>
      <xdr:rowOff>183240</xdr:rowOff>
    </xdr:to>
    <xdr:graphicFrame>
      <xdr:nvGraphicFramePr>
        <xdr:cNvPr id="1" name="Chart 1"/>
        <xdr:cNvGraphicFramePr/>
      </xdr:nvGraphicFramePr>
      <xdr:xfrm>
        <a:off x="7518960" y="438120"/>
        <a:ext cx="4884840" cy="3421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  <row r="26" customFormat="false" ht="15" hidden="false" customHeight="true" outlineLevel="0" collapsed="false">
      <c r="A26" s="1" t="s">
        <v>36</v>
      </c>
      <c r="B26" s="1" t="s">
        <v>37</v>
      </c>
    </row>
    <row r="27" customFormat="false" ht="15" hidden="false" customHeight="true" outlineLevel="0" collapsed="false">
      <c r="A27" s="1" t="s">
        <v>38</v>
      </c>
      <c r="B27" s="1" t="s">
        <v>39</v>
      </c>
    </row>
    <row r="28" customFormat="false" ht="15" hidden="false" customHeight="true" outlineLevel="0" collapsed="false">
      <c r="A28" s="1" t="s">
        <v>40</v>
      </c>
    </row>
    <row r="29" customFormat="false" ht="15" hidden="false" customHeight="true" outlineLevel="0" collapsed="false">
      <c r="A29" s="1" t="s">
        <v>41</v>
      </c>
      <c r="B29" s="1" t="s">
        <v>42</v>
      </c>
    </row>
    <row r="30" customFormat="false" ht="15" hidden="false" customHeight="true" outlineLevel="0" collapsed="false">
      <c r="A30" s="1" t="s">
        <v>43</v>
      </c>
      <c r="B30" s="1" t="s">
        <v>44</v>
      </c>
    </row>
    <row r="31" customFormat="false" ht="15" hidden="false" customHeight="true" outlineLevel="0" collapsed="false">
      <c r="A31" s="1" t="s">
        <v>45</v>
      </c>
      <c r="B31" s="1" t="s">
        <v>46</v>
      </c>
    </row>
    <row r="32" customFormat="false" ht="15" hidden="false" customHeight="true" outlineLevel="0" collapsed="false">
      <c r="A32" s="1" t="s">
        <v>47</v>
      </c>
      <c r="B32" s="1" t="s">
        <v>48</v>
      </c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49</v>
      </c>
      <c r="D1" s="6" t="s">
        <v>50</v>
      </c>
      <c r="E1" s="6" t="s">
        <v>51</v>
      </c>
      <c r="F1" s="6" t="s">
        <v>52</v>
      </c>
      <c r="G1" s="6" t="s">
        <v>53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54</v>
      </c>
      <c r="P1" s="6" t="s">
        <v>55</v>
      </c>
      <c r="Q1" s="6" t="s">
        <v>56</v>
      </c>
      <c r="R1" s="6" t="s">
        <v>57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58</v>
      </c>
      <c r="D2" s="3" t="s">
        <v>59</v>
      </c>
      <c r="E2" s="3" t="s">
        <v>60</v>
      </c>
      <c r="F2" s="3" t="s">
        <v>61</v>
      </c>
      <c r="G2" s="3" t="s">
        <v>62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63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64</v>
      </c>
      <c r="D3" s="3" t="s">
        <v>59</v>
      </c>
      <c r="E3" s="3" t="s">
        <v>60</v>
      </c>
      <c r="F3" s="3" t="s">
        <v>61</v>
      </c>
      <c r="G3" s="3" t="s">
        <v>62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65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66</v>
      </c>
      <c r="D4" s="3" t="s">
        <v>59</v>
      </c>
      <c r="E4" s="3" t="s">
        <v>60</v>
      </c>
      <c r="F4" s="3" t="s">
        <v>61</v>
      </c>
      <c r="G4" s="3" t="s">
        <v>62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67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68</v>
      </c>
      <c r="D5" s="3" t="s">
        <v>69</v>
      </c>
      <c r="E5" s="3" t="s">
        <v>70</v>
      </c>
      <c r="F5" s="3" t="s">
        <v>62</v>
      </c>
      <c r="G5" s="3" t="s">
        <v>62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71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72</v>
      </c>
      <c r="D6" s="3" t="s">
        <v>69</v>
      </c>
      <c r="E6" s="3" t="s">
        <v>73</v>
      </c>
      <c r="F6" s="3" t="s">
        <v>61</v>
      </c>
      <c r="G6" s="3" t="s">
        <v>62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74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75</v>
      </c>
      <c r="D7" s="3" t="s">
        <v>69</v>
      </c>
      <c r="E7" s="3" t="s">
        <v>76</v>
      </c>
      <c r="F7" s="3" t="s">
        <v>61</v>
      </c>
      <c r="G7" s="3" t="s">
        <v>62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77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78</v>
      </c>
      <c r="D8" s="3" t="s">
        <v>69</v>
      </c>
      <c r="E8" s="3" t="s">
        <v>76</v>
      </c>
      <c r="F8" s="3" t="s">
        <v>61</v>
      </c>
      <c r="G8" s="3" t="s">
        <v>62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79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80</v>
      </c>
      <c r="D9" s="3" t="s">
        <v>81</v>
      </c>
      <c r="E9" s="3" t="s">
        <v>82</v>
      </c>
      <c r="F9" s="3" t="s">
        <v>61</v>
      </c>
      <c r="G9" s="3" t="s">
        <v>61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83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84</v>
      </c>
      <c r="D10" s="3" t="s">
        <v>59</v>
      </c>
      <c r="E10" s="3" t="s">
        <v>85</v>
      </c>
      <c r="F10" s="3" t="s">
        <v>61</v>
      </c>
      <c r="G10" s="3" t="s">
        <v>61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86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87</v>
      </c>
      <c r="D11" s="3" t="s">
        <v>88</v>
      </c>
      <c r="E11" s="3" t="s">
        <v>89</v>
      </c>
      <c r="F11" s="3" t="s">
        <v>61</v>
      </c>
      <c r="G11" s="3" t="s">
        <v>61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90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91</v>
      </c>
      <c r="D12" s="3" t="s">
        <v>88</v>
      </c>
      <c r="E12" s="3" t="s">
        <v>89</v>
      </c>
      <c r="F12" s="3" t="s">
        <v>61</v>
      </c>
      <c r="G12" s="3" t="s">
        <v>61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92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93</v>
      </c>
      <c r="D13" s="3" t="s">
        <v>94</v>
      </c>
      <c r="E13" s="3" t="s">
        <v>95</v>
      </c>
      <c r="F13" s="3" t="s">
        <v>61</v>
      </c>
      <c r="G13" s="3" t="s">
        <v>61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96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97</v>
      </c>
      <c r="D14" s="3" t="s">
        <v>59</v>
      </c>
      <c r="E14" s="3" t="s">
        <v>60</v>
      </c>
      <c r="F14" s="3" t="s">
        <v>61</v>
      </c>
      <c r="G14" s="3" t="s">
        <v>61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98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99</v>
      </c>
      <c r="D15" s="3" t="s">
        <v>59</v>
      </c>
      <c r="E15" s="3" t="s">
        <v>60</v>
      </c>
      <c r="F15" s="3" t="s">
        <v>61</v>
      </c>
      <c r="G15" s="3" t="s">
        <v>61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100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101</v>
      </c>
      <c r="D16" s="3" t="s">
        <v>102</v>
      </c>
      <c r="E16" s="3" t="s">
        <v>103</v>
      </c>
      <c r="F16" s="3" t="s">
        <v>61</v>
      </c>
      <c r="G16" s="3" t="s">
        <v>61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104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105</v>
      </c>
      <c r="D17" s="3" t="s">
        <v>106</v>
      </c>
      <c r="E17" s="3" t="s">
        <v>107</v>
      </c>
      <c r="F17" s="3" t="s">
        <v>61</v>
      </c>
      <c r="G17" s="3" t="s">
        <v>61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108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109</v>
      </c>
      <c r="D18" s="3" t="s">
        <v>102</v>
      </c>
      <c r="E18" s="3" t="s">
        <v>110</v>
      </c>
      <c r="F18" s="3" t="s">
        <v>61</v>
      </c>
      <c r="G18" s="3" t="s">
        <v>61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111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112</v>
      </c>
      <c r="D19" s="3" t="s">
        <v>113</v>
      </c>
      <c r="E19" s="3" t="s">
        <v>114</v>
      </c>
      <c r="F19" s="3" t="s">
        <v>61</v>
      </c>
      <c r="G19" s="3" t="s">
        <v>62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115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116</v>
      </c>
      <c r="D20" s="3" t="s">
        <v>117</v>
      </c>
      <c r="E20" s="3" t="s">
        <v>118</v>
      </c>
      <c r="F20" s="3" t="s">
        <v>61</v>
      </c>
      <c r="G20" s="3" t="s">
        <v>61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119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120</v>
      </c>
      <c r="D21" s="3" t="s">
        <v>121</v>
      </c>
      <c r="E21" s="3" t="s">
        <v>122</v>
      </c>
      <c r="F21" s="3" t="s">
        <v>61</v>
      </c>
      <c r="G21" s="3" t="s">
        <v>61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123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124</v>
      </c>
      <c r="D22" s="3" t="s">
        <v>125</v>
      </c>
      <c r="E22" s="3" t="s">
        <v>126</v>
      </c>
      <c r="F22" s="3" t="s">
        <v>61</v>
      </c>
      <c r="G22" s="3" t="s">
        <v>61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127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128</v>
      </c>
      <c r="D23" s="3" t="s">
        <v>129</v>
      </c>
      <c r="E23" s="3" t="s">
        <v>130</v>
      </c>
      <c r="F23" s="3" t="s">
        <v>61</v>
      </c>
      <c r="G23" s="3" t="s">
        <v>61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131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132</v>
      </c>
      <c r="D24" s="3" t="s">
        <v>59</v>
      </c>
      <c r="E24" s="3" t="s">
        <v>60</v>
      </c>
      <c r="F24" s="3" t="s">
        <v>61</v>
      </c>
      <c r="G24" s="3" t="s">
        <v>61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133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134</v>
      </c>
      <c r="D25" s="3" t="s">
        <v>59</v>
      </c>
      <c r="E25" s="3" t="s">
        <v>60</v>
      </c>
      <c r="F25" s="3" t="s">
        <v>61</v>
      </c>
      <c r="G25" s="3" t="s">
        <v>61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135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136</v>
      </c>
      <c r="D26" s="3" t="s">
        <v>81</v>
      </c>
      <c r="E26" s="3" t="s">
        <v>95</v>
      </c>
      <c r="F26" s="3" t="s">
        <v>61</v>
      </c>
      <c r="G26" s="3" t="s">
        <v>61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137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138</v>
      </c>
      <c r="D27" s="3" t="s">
        <v>139</v>
      </c>
      <c r="E27" s="3" t="s">
        <v>103</v>
      </c>
      <c r="F27" s="3" t="s">
        <v>61</v>
      </c>
      <c r="G27" s="3" t="s">
        <v>61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140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141</v>
      </c>
      <c r="D28" s="3" t="s">
        <v>139</v>
      </c>
      <c r="E28" s="3" t="s">
        <v>103</v>
      </c>
      <c r="F28" s="3" t="s">
        <v>61</v>
      </c>
      <c r="G28" s="3" t="s">
        <v>61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142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143</v>
      </c>
      <c r="D29" s="3" t="s">
        <v>129</v>
      </c>
      <c r="E29" s="3" t="s">
        <v>144</v>
      </c>
      <c r="F29" s="3" t="s">
        <v>61</v>
      </c>
      <c r="G29" s="3" t="s">
        <v>62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145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146</v>
      </c>
      <c r="D30" s="3" t="s">
        <v>88</v>
      </c>
      <c r="E30" s="3" t="s">
        <v>89</v>
      </c>
      <c r="F30" s="3" t="s">
        <v>61</v>
      </c>
      <c r="G30" s="3" t="s">
        <v>61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147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148</v>
      </c>
      <c r="D31" s="3" t="s">
        <v>88</v>
      </c>
      <c r="E31" s="3" t="s">
        <v>89</v>
      </c>
      <c r="F31" s="3" t="s">
        <v>61</v>
      </c>
      <c r="G31" s="3" t="s">
        <v>61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149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150</v>
      </c>
      <c r="D32" s="3" t="s">
        <v>151</v>
      </c>
      <c r="E32" s="3" t="s">
        <v>152</v>
      </c>
      <c r="F32" s="3" t="s">
        <v>61</v>
      </c>
      <c r="G32" s="3" t="s">
        <v>61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153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154</v>
      </c>
      <c r="D33" s="3" t="s">
        <v>129</v>
      </c>
      <c r="E33" s="3" t="s">
        <v>155</v>
      </c>
      <c r="F33" s="3" t="s">
        <v>61</v>
      </c>
      <c r="G33" s="3" t="s">
        <v>61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156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157</v>
      </c>
      <c r="D34" s="3" t="s">
        <v>69</v>
      </c>
      <c r="E34" s="3" t="s">
        <v>158</v>
      </c>
      <c r="F34" s="3" t="s">
        <v>61</v>
      </c>
      <c r="G34" s="3" t="s">
        <v>61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159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160</v>
      </c>
      <c r="D35" s="3" t="s">
        <v>69</v>
      </c>
      <c r="E35" s="3" t="s">
        <v>161</v>
      </c>
      <c r="F35" s="3" t="s">
        <v>61</v>
      </c>
      <c r="G35" s="3" t="s">
        <v>61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162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163</v>
      </c>
      <c r="D36" s="3" t="s">
        <v>151</v>
      </c>
      <c r="E36" s="3" t="s">
        <v>161</v>
      </c>
      <c r="F36" s="3" t="s">
        <v>61</v>
      </c>
      <c r="G36" s="3" t="s">
        <v>61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164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165</v>
      </c>
      <c r="D37" s="3" t="s">
        <v>166</v>
      </c>
      <c r="E37" s="3" t="s">
        <v>95</v>
      </c>
      <c r="F37" s="3" t="s">
        <v>61</v>
      </c>
      <c r="G37" s="3" t="s">
        <v>61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167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168</v>
      </c>
      <c r="D38" s="3" t="s">
        <v>102</v>
      </c>
      <c r="E38" s="3" t="s">
        <v>169</v>
      </c>
      <c r="F38" s="3" t="s">
        <v>61</v>
      </c>
      <c r="G38" s="3" t="s">
        <v>61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170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171</v>
      </c>
      <c r="D39" s="3" t="s">
        <v>172</v>
      </c>
      <c r="E39" s="3" t="s">
        <v>173</v>
      </c>
      <c r="F39" s="3" t="s">
        <v>61</v>
      </c>
      <c r="G39" s="3" t="s">
        <v>61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174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175</v>
      </c>
      <c r="D40" s="3" t="s">
        <v>129</v>
      </c>
      <c r="E40" s="3" t="s">
        <v>176</v>
      </c>
      <c r="F40" s="3" t="s">
        <v>61</v>
      </c>
      <c r="G40" s="3" t="s">
        <v>61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177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178</v>
      </c>
      <c r="D41" s="3" t="s">
        <v>88</v>
      </c>
      <c r="E41" s="3" t="s">
        <v>89</v>
      </c>
      <c r="F41" s="3" t="s">
        <v>61</v>
      </c>
      <c r="G41" s="3" t="s">
        <v>61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179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180</v>
      </c>
      <c r="D42" s="3" t="s">
        <v>88</v>
      </c>
      <c r="E42" s="3" t="s">
        <v>89</v>
      </c>
      <c r="F42" s="3" t="s">
        <v>61</v>
      </c>
      <c r="G42" s="3" t="s">
        <v>61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181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182</v>
      </c>
      <c r="D43" s="3" t="s">
        <v>94</v>
      </c>
      <c r="E43" s="3" t="s">
        <v>89</v>
      </c>
      <c r="F43" s="3" t="s">
        <v>61</v>
      </c>
      <c r="G43" s="3" t="s">
        <v>61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183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184</v>
      </c>
      <c r="D44" s="3" t="s">
        <v>185</v>
      </c>
      <c r="E44" s="3" t="s">
        <v>186</v>
      </c>
      <c r="F44" s="3" t="s">
        <v>61</v>
      </c>
      <c r="G44" s="3" t="s">
        <v>61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187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188</v>
      </c>
      <c r="D45" s="3" t="s">
        <v>151</v>
      </c>
      <c r="E45" s="3" t="s">
        <v>161</v>
      </c>
      <c r="F45" s="3" t="s">
        <v>61</v>
      </c>
      <c r="G45" s="3" t="s">
        <v>61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189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190</v>
      </c>
      <c r="D46" s="3" t="s">
        <v>191</v>
      </c>
      <c r="E46" s="3" t="s">
        <v>192</v>
      </c>
      <c r="F46" s="3" t="s">
        <v>61</v>
      </c>
      <c r="G46" s="3" t="s">
        <v>62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193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194</v>
      </c>
      <c r="D47" s="3" t="s">
        <v>59</v>
      </c>
      <c r="E47" s="3" t="s">
        <v>60</v>
      </c>
      <c r="F47" s="3" t="s">
        <v>61</v>
      </c>
      <c r="G47" s="3" t="s">
        <v>61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195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196</v>
      </c>
      <c r="D48" s="3" t="s">
        <v>102</v>
      </c>
      <c r="E48" s="3" t="s">
        <v>197</v>
      </c>
      <c r="F48" s="3" t="s">
        <v>61</v>
      </c>
      <c r="G48" s="3" t="s">
        <v>61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198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199</v>
      </c>
      <c r="D49" s="3" t="s">
        <v>129</v>
      </c>
      <c r="E49" s="3" t="s">
        <v>200</v>
      </c>
      <c r="F49" s="3" t="s">
        <v>61</v>
      </c>
      <c r="G49" s="3" t="s">
        <v>61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201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202</v>
      </c>
      <c r="D50" s="3" t="s">
        <v>151</v>
      </c>
      <c r="E50" s="3" t="s">
        <v>203</v>
      </c>
      <c r="F50" s="3" t="s">
        <v>61</v>
      </c>
      <c r="G50" s="3" t="s">
        <v>61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204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205</v>
      </c>
      <c r="D51" s="3" t="s">
        <v>113</v>
      </c>
      <c r="E51" s="3" t="s">
        <v>114</v>
      </c>
      <c r="F51" s="3" t="s">
        <v>61</v>
      </c>
      <c r="G51" s="3" t="s">
        <v>61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206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207</v>
      </c>
      <c r="D52" s="3" t="s">
        <v>208</v>
      </c>
      <c r="E52" s="3" t="s">
        <v>209</v>
      </c>
      <c r="F52" s="3" t="s">
        <v>61</v>
      </c>
      <c r="G52" s="3" t="s">
        <v>61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210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211</v>
      </c>
      <c r="D53" s="3" t="s">
        <v>59</v>
      </c>
      <c r="E53" s="3" t="s">
        <v>60</v>
      </c>
      <c r="F53" s="3" t="s">
        <v>61</v>
      </c>
      <c r="G53" s="3" t="s">
        <v>61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212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213</v>
      </c>
      <c r="D54" s="3" t="s">
        <v>151</v>
      </c>
      <c r="E54" s="3" t="s">
        <v>214</v>
      </c>
      <c r="F54" s="3" t="s">
        <v>61</v>
      </c>
      <c r="G54" s="3" t="s">
        <v>61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215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216</v>
      </c>
      <c r="D55" s="3" t="s">
        <v>59</v>
      </c>
      <c r="E55" s="3" t="s">
        <v>217</v>
      </c>
      <c r="F55" s="3" t="s">
        <v>61</v>
      </c>
      <c r="G55" s="3" t="s">
        <v>61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218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219</v>
      </c>
      <c r="D56" s="3" t="s">
        <v>139</v>
      </c>
      <c r="E56" s="3" t="s">
        <v>103</v>
      </c>
      <c r="F56" s="3" t="s">
        <v>61</v>
      </c>
      <c r="G56" s="3" t="s">
        <v>61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220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221</v>
      </c>
      <c r="D57" s="3" t="s">
        <v>222</v>
      </c>
      <c r="E57" s="3" t="s">
        <v>169</v>
      </c>
      <c r="F57" s="3" t="s">
        <v>61</v>
      </c>
      <c r="G57" s="3" t="s">
        <v>61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223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224</v>
      </c>
      <c r="D58" s="3" t="s">
        <v>139</v>
      </c>
      <c r="E58" s="3" t="s">
        <v>103</v>
      </c>
      <c r="F58" s="3" t="s">
        <v>61</v>
      </c>
      <c r="G58" s="3" t="s">
        <v>61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225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226</v>
      </c>
      <c r="D59" s="3" t="s">
        <v>139</v>
      </c>
      <c r="E59" s="3" t="s">
        <v>173</v>
      </c>
      <c r="F59" s="3" t="s">
        <v>61</v>
      </c>
      <c r="G59" s="3" t="s">
        <v>61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227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228</v>
      </c>
      <c r="D60" s="3" t="s">
        <v>229</v>
      </c>
      <c r="E60" s="3" t="s">
        <v>230</v>
      </c>
      <c r="F60" s="3" t="s">
        <v>61</v>
      </c>
      <c r="G60" s="3" t="s">
        <v>61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231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232</v>
      </c>
      <c r="D61" s="3" t="s">
        <v>106</v>
      </c>
      <c r="E61" s="3" t="s">
        <v>233</v>
      </c>
      <c r="F61" s="3" t="s">
        <v>61</v>
      </c>
      <c r="G61" s="3" t="s">
        <v>61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234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235</v>
      </c>
      <c r="D62" s="3" t="s">
        <v>139</v>
      </c>
      <c r="E62" s="3" t="s">
        <v>236</v>
      </c>
      <c r="F62" s="3" t="s">
        <v>61</v>
      </c>
      <c r="G62" s="3" t="s">
        <v>61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237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238</v>
      </c>
      <c r="D63" s="3" t="s">
        <v>129</v>
      </c>
      <c r="E63" s="3" t="s">
        <v>239</v>
      </c>
      <c r="F63" s="3" t="s">
        <v>61</v>
      </c>
      <c r="G63" s="3" t="s">
        <v>61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240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241</v>
      </c>
      <c r="D64" s="3" t="s">
        <v>139</v>
      </c>
      <c r="E64" s="3" t="s">
        <v>173</v>
      </c>
      <c r="F64" s="3" t="s">
        <v>61</v>
      </c>
      <c r="G64" s="3" t="s">
        <v>61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242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243</v>
      </c>
      <c r="D65" s="3" t="s">
        <v>244</v>
      </c>
      <c r="E65" s="3" t="s">
        <v>245</v>
      </c>
      <c r="F65" s="3" t="s">
        <v>61</v>
      </c>
      <c r="G65" s="3" t="s">
        <v>61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246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247</v>
      </c>
      <c r="D66" s="3" t="s">
        <v>129</v>
      </c>
      <c r="E66" s="3" t="s">
        <v>248</v>
      </c>
      <c r="F66" s="3" t="s">
        <v>61</v>
      </c>
      <c r="G66" s="3" t="s">
        <v>61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249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250</v>
      </c>
      <c r="D67" s="3" t="s">
        <v>251</v>
      </c>
      <c r="E67" s="3" t="s">
        <v>252</v>
      </c>
      <c r="F67" s="3" t="s">
        <v>61</v>
      </c>
      <c r="G67" s="3" t="s">
        <v>61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253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254</v>
      </c>
      <c r="D68" s="3" t="s">
        <v>255</v>
      </c>
      <c r="E68" s="3" t="s">
        <v>256</v>
      </c>
      <c r="F68" s="3" t="s">
        <v>61</v>
      </c>
      <c r="G68" s="3" t="s">
        <v>61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257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258</v>
      </c>
      <c r="D69" s="3" t="s">
        <v>208</v>
      </c>
      <c r="E69" s="3" t="s">
        <v>259</v>
      </c>
      <c r="F69" s="3" t="s">
        <v>61</v>
      </c>
      <c r="G69" s="3" t="s">
        <v>61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260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261</v>
      </c>
      <c r="D70" s="3" t="s">
        <v>102</v>
      </c>
      <c r="E70" s="3" t="s">
        <v>262</v>
      </c>
      <c r="F70" s="3" t="s">
        <v>61</v>
      </c>
      <c r="G70" s="3" t="s">
        <v>61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263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264</v>
      </c>
      <c r="D71" s="3" t="s">
        <v>139</v>
      </c>
      <c r="E71" s="3" t="s">
        <v>265</v>
      </c>
      <c r="F71" s="3" t="s">
        <v>61</v>
      </c>
      <c r="G71" s="3" t="s">
        <v>61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266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267</v>
      </c>
      <c r="D72" s="3" t="s">
        <v>185</v>
      </c>
      <c r="E72" s="3" t="s">
        <v>268</v>
      </c>
      <c r="F72" s="3" t="s">
        <v>61</v>
      </c>
      <c r="G72" s="3" t="s">
        <v>61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269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270</v>
      </c>
      <c r="D73" s="3" t="s">
        <v>151</v>
      </c>
      <c r="E73" s="3" t="s">
        <v>271</v>
      </c>
      <c r="F73" s="3" t="s">
        <v>61</v>
      </c>
      <c r="G73" s="3" t="s">
        <v>61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272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273</v>
      </c>
      <c r="D74" s="3" t="s">
        <v>274</v>
      </c>
      <c r="E74" s="3" t="s">
        <v>275</v>
      </c>
      <c r="F74" s="3" t="s">
        <v>61</v>
      </c>
      <c r="G74" s="3" t="s">
        <v>61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276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277</v>
      </c>
      <c r="D75" s="1" t="s">
        <v>278</v>
      </c>
      <c r="E75" s="1" t="s">
        <v>279</v>
      </c>
      <c r="F75" s="1" t="s">
        <v>61</v>
      </c>
      <c r="G75" s="1" t="s">
        <v>61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280</v>
      </c>
    </row>
    <row r="76" customFormat="false" ht="15" hidden="false" customHeight="true" outlineLevel="0" collapsed="false">
      <c r="A76" s="1" t="n">
        <v>3</v>
      </c>
      <c r="B76" s="1" t="s">
        <v>28</v>
      </c>
      <c r="C76" s="1" t="s">
        <v>281</v>
      </c>
      <c r="D76" s="1" t="s">
        <v>282</v>
      </c>
      <c r="E76" s="1" t="s">
        <v>283</v>
      </c>
      <c r="F76" s="1" t="s">
        <v>61</v>
      </c>
      <c r="G76" s="1" t="s">
        <v>61</v>
      </c>
      <c r="H76" s="1" t="n">
        <v>0.85</v>
      </c>
      <c r="I76" s="1" t="n">
        <v>0.75</v>
      </c>
      <c r="J76" s="1" t="n">
        <v>0.6</v>
      </c>
      <c r="K76" s="1" t="n">
        <v>0.85</v>
      </c>
      <c r="L76" s="1" t="n">
        <v>0.55</v>
      </c>
      <c r="M76" s="1" t="n">
        <v>0.6</v>
      </c>
      <c r="N76" s="1" t="n">
        <v>1.15</v>
      </c>
      <c r="O76" s="1" t="n">
        <f aca="false">H76*Methodology!$E$4+I76*Methodology!$E$5+J76*Methodology!$E$6+K76*Methodology!$E$7+L76*Methodology!$E$8+M76*Methodology!$E$9+N76*Methodology!$E$10</f>
        <v>0.745</v>
      </c>
      <c r="P76" s="1" t="n">
        <f aca="false">1+(O76*2.25)</f>
        <v>2.67625</v>
      </c>
      <c r="Q76" s="1" t="n">
        <f aca="false">ROUND(P76,0)</f>
        <v>3</v>
      </c>
      <c r="R76" s="1" t="s">
        <v>284</v>
      </c>
    </row>
    <row r="77" customFormat="false" ht="15" hidden="false" customHeight="true" outlineLevel="0" collapsed="false">
      <c r="A77" s="1" t="n">
        <v>4</v>
      </c>
      <c r="B77" s="1" t="s">
        <v>29</v>
      </c>
      <c r="C77" s="1" t="s">
        <v>285</v>
      </c>
      <c r="D77" s="1" t="s">
        <v>282</v>
      </c>
      <c r="E77" s="1" t="s">
        <v>286</v>
      </c>
      <c r="F77" s="1" t="s">
        <v>61</v>
      </c>
      <c r="G77" s="1" t="s">
        <v>61</v>
      </c>
      <c r="H77" s="1" t="n">
        <v>1.3</v>
      </c>
      <c r="I77" s="1" t="n">
        <v>1.15</v>
      </c>
      <c r="J77" s="1" t="n">
        <v>1</v>
      </c>
      <c r="K77" s="1" t="n">
        <v>1.5</v>
      </c>
      <c r="L77" s="1" t="n">
        <v>1</v>
      </c>
      <c r="M77" s="1" t="n">
        <v>1.2</v>
      </c>
      <c r="N77" s="1" t="n">
        <v>1.5</v>
      </c>
      <c r="O77" s="1" t="n">
        <f aca="false">H77*Methodology!$E$4+I77*Methodology!$E$5+J77*Methodology!$E$6+K77*Methodology!$E$7+L77*Methodology!$E$8+M77*Methodology!$E$9+N77*Methodology!$E$10</f>
        <v>1.2225</v>
      </c>
      <c r="P77" s="1" t="n">
        <f aca="false">1+(O77*2.25)</f>
        <v>3.750625</v>
      </c>
      <c r="Q77" s="1" t="n">
        <f aca="false">ROUND(P77,0)</f>
        <v>4</v>
      </c>
      <c r="R77" s="1" t="s">
        <v>287</v>
      </c>
    </row>
    <row r="78" customFormat="false" ht="15" hidden="false" customHeight="true" outlineLevel="0" collapsed="false">
      <c r="A78" s="1" t="n">
        <v>6</v>
      </c>
      <c r="B78" s="1" t="s">
        <v>31</v>
      </c>
      <c r="C78" s="1" t="s">
        <v>288</v>
      </c>
      <c r="D78" s="1" t="s">
        <v>129</v>
      </c>
      <c r="E78" s="1" t="s">
        <v>289</v>
      </c>
      <c r="F78" s="1" t="s">
        <v>61</v>
      </c>
      <c r="G78" s="1" t="s">
        <v>61</v>
      </c>
      <c r="H78" s="1" t="n">
        <v>2.1</v>
      </c>
      <c r="I78" s="1" t="n">
        <v>1.9</v>
      </c>
      <c r="J78" s="1" t="n">
        <v>2.2</v>
      </c>
      <c r="K78" s="1" t="n">
        <v>2.4</v>
      </c>
      <c r="L78" s="1" t="n">
        <v>1.7</v>
      </c>
      <c r="M78" s="1" t="n">
        <v>2</v>
      </c>
      <c r="N78" s="1" t="n">
        <v>3.1</v>
      </c>
      <c r="O78" s="1" t="n">
        <f aca="false">H78*Methodology!$E$4+I78*Methodology!$E$5+J78*Methodology!$E$6+K78*Methodology!$E$7+L78*Methodology!$E$8+M78*Methodology!$E$9+N78*Methodology!$E$10</f>
        <v>2.155</v>
      </c>
      <c r="P78" s="1" t="n">
        <f aca="false">1+(O78*2.25)</f>
        <v>5.84875</v>
      </c>
      <c r="Q78" s="1" t="n">
        <f aca="false">ROUND(P78,0)</f>
        <v>6</v>
      </c>
      <c r="R78" s="1" t="s">
        <v>290</v>
      </c>
    </row>
    <row r="79" customFormat="false" ht="15" hidden="false" customHeight="true" outlineLevel="0" collapsed="false">
      <c r="A79" s="1" t="n">
        <v>7</v>
      </c>
      <c r="B79" s="1" t="s">
        <v>32</v>
      </c>
      <c r="C79" s="1" t="s">
        <v>291</v>
      </c>
      <c r="D79" s="1" t="s">
        <v>292</v>
      </c>
      <c r="E79" s="1" t="s">
        <v>293</v>
      </c>
      <c r="F79" s="1" t="s">
        <v>61</v>
      </c>
      <c r="G79" s="1" t="s">
        <v>61</v>
      </c>
      <c r="H79" s="1" t="n">
        <v>2.5</v>
      </c>
      <c r="I79" s="1" t="n">
        <v>2.8</v>
      </c>
      <c r="J79" s="1" t="n">
        <v>3.1</v>
      </c>
      <c r="K79" s="1" t="n">
        <v>2.7</v>
      </c>
      <c r="L79" s="1" t="n">
        <v>2.8</v>
      </c>
      <c r="M79" s="1" t="n">
        <v>2.7</v>
      </c>
      <c r="N79" s="1" t="n">
        <v>3.1</v>
      </c>
      <c r="O79" s="1" t="n">
        <f aca="false">H79*Methodology!$E$4+I79*Methodology!$E$5+J79*Methodology!$E$6+K79*Methodology!$E$7+L79*Methodology!$E$8+M79*Methodology!$E$9+N79*Methodology!$E$10</f>
        <v>2.8</v>
      </c>
      <c r="P79" s="1" t="n">
        <f aca="false">1+(O79*2.25)</f>
        <v>7.3</v>
      </c>
      <c r="Q79" s="1" t="n">
        <f aca="false">ROUND(P79,0)</f>
        <v>7</v>
      </c>
      <c r="R79" s="1" t="s">
        <v>294</v>
      </c>
    </row>
    <row r="80" customFormat="false" ht="15" hidden="false" customHeight="true" outlineLevel="0" collapsed="false">
      <c r="A80" s="1" t="n">
        <v>6</v>
      </c>
      <c r="B80" s="1" t="s">
        <v>31</v>
      </c>
      <c r="C80" s="1" t="s">
        <v>295</v>
      </c>
      <c r="D80" s="1" t="s">
        <v>244</v>
      </c>
      <c r="E80" s="1" t="s">
        <v>296</v>
      </c>
      <c r="F80" s="1" t="s">
        <v>61</v>
      </c>
      <c r="G80" s="1" t="s">
        <v>61</v>
      </c>
      <c r="H80" s="1" t="n">
        <v>2.3</v>
      </c>
      <c r="I80" s="1" t="n">
        <v>1.8</v>
      </c>
      <c r="J80" s="1" t="n">
        <v>2.1</v>
      </c>
      <c r="K80" s="1" t="n">
        <v>2.3</v>
      </c>
      <c r="L80" s="1" t="n">
        <v>1.9</v>
      </c>
      <c r="M80" s="1" t="n">
        <v>1.8</v>
      </c>
      <c r="N80" s="1" t="n">
        <v>3.1</v>
      </c>
      <c r="O80" s="1" t="n">
        <f aca="false">H80*Methodology!$E$4+I80*Methodology!$E$5+J80*Methodology!$E$6+K80*Methodology!$E$7+L80*Methodology!$E$8+M80*Methodology!$E$9+N80*Methodology!$E$10</f>
        <v>2.14</v>
      </c>
      <c r="P80" s="1" t="n">
        <f aca="false">1+(O80*2.25)</f>
        <v>5.815</v>
      </c>
      <c r="Q80" s="1" t="n">
        <f aca="false">ROUND(P80,0)</f>
        <v>6</v>
      </c>
      <c r="R80" s="1" t="s">
        <v>297</v>
      </c>
    </row>
    <row r="81" customFormat="false" ht="15" hidden="false" customHeight="true" outlineLevel="0" collapsed="false">
      <c r="A81" s="1" t="n">
        <v>2</v>
      </c>
      <c r="B81" s="1" t="s">
        <v>27</v>
      </c>
      <c r="C81" s="1" t="s">
        <v>298</v>
      </c>
      <c r="D81" s="1" t="s">
        <v>59</v>
      </c>
      <c r="E81" s="1" t="s">
        <v>299</v>
      </c>
      <c r="F81" s="1" t="s">
        <v>61</v>
      </c>
      <c r="G81" s="1" t="s">
        <v>61</v>
      </c>
      <c r="H81" s="1" t="n">
        <v>0.5</v>
      </c>
      <c r="I81" s="1" t="n">
        <v>0.3</v>
      </c>
      <c r="J81" s="1" t="n">
        <v>0.35</v>
      </c>
      <c r="K81" s="1" t="n">
        <v>0.3</v>
      </c>
      <c r="L81" s="1" t="n">
        <v>0.3</v>
      </c>
      <c r="M81" s="1" t="n">
        <v>0.35</v>
      </c>
      <c r="N81" s="1" t="n">
        <v>0.9</v>
      </c>
      <c r="O81" s="1" t="n">
        <f aca="false">H81*Methodology!$E$4+I81*Methodology!$E$5+J81*Methodology!$E$6+K81*Methodology!$E$7+L81*Methodology!$E$8+M81*Methodology!$E$9+N81*Methodology!$E$10</f>
        <v>0.405</v>
      </c>
      <c r="P81" s="1" t="n">
        <f aca="false">1+(O81*2.25)</f>
        <v>1.91125</v>
      </c>
      <c r="Q81" s="1" t="n">
        <f aca="false">ROUND(P81,0)</f>
        <v>2</v>
      </c>
      <c r="R81" s="1" t="s">
        <v>300</v>
      </c>
    </row>
    <row r="82" customFormat="false" ht="15" hidden="false" customHeight="true" outlineLevel="0" collapsed="false">
      <c r="A82" s="1" t="n">
        <v>2</v>
      </c>
      <c r="B82" s="1" t="s">
        <v>27</v>
      </c>
      <c r="C82" s="1" t="s">
        <v>301</v>
      </c>
      <c r="D82" s="1" t="s">
        <v>88</v>
      </c>
      <c r="E82" s="1" t="s">
        <v>302</v>
      </c>
      <c r="F82" s="1" t="s">
        <v>61</v>
      </c>
      <c r="G82" s="1" t="s">
        <v>61</v>
      </c>
      <c r="H82" s="1" t="n">
        <v>0.6</v>
      </c>
      <c r="I82" s="1" t="n">
        <v>0.45</v>
      </c>
      <c r="J82" s="1" t="n">
        <v>0.5</v>
      </c>
      <c r="K82" s="1" t="n">
        <v>0.3</v>
      </c>
      <c r="L82" s="1" t="n">
        <v>0.5</v>
      </c>
      <c r="M82" s="1" t="n">
        <v>0.3</v>
      </c>
      <c r="N82" s="1" t="n">
        <v>0.95</v>
      </c>
      <c r="O82" s="1" t="n">
        <f aca="false">H82*Methodology!$E$4+I82*Methodology!$E$5+J82*Methodology!$E$6+K82*Methodology!$E$7+L82*Methodology!$E$8+M82*Methodology!$E$9+N82*Methodology!$E$10</f>
        <v>0.4925</v>
      </c>
      <c r="P82" s="1" t="n">
        <f aca="false">1+(O82*2.25)</f>
        <v>2.108125</v>
      </c>
      <c r="Q82" s="1" t="n">
        <f aca="false">ROUND(P82,0)</f>
        <v>2</v>
      </c>
      <c r="R82" s="1" t="s">
        <v>303</v>
      </c>
    </row>
    <row r="83" customFormat="false" ht="15" hidden="false" customHeight="true" outlineLevel="0" collapsed="false">
      <c r="A83" s="1" t="n">
        <v>8</v>
      </c>
      <c r="B83" s="1" t="s">
        <v>33</v>
      </c>
      <c r="C83" s="1" t="s">
        <v>304</v>
      </c>
      <c r="D83" s="1" t="s">
        <v>305</v>
      </c>
      <c r="E83" s="1" t="s">
        <v>306</v>
      </c>
      <c r="F83" s="1" t="s">
        <v>61</v>
      </c>
      <c r="G83" s="1" t="s">
        <v>61</v>
      </c>
      <c r="H83" s="1" t="n">
        <v>3.3</v>
      </c>
      <c r="I83" s="1" t="n">
        <v>3.4</v>
      </c>
      <c r="J83" s="1" t="n">
        <v>3.1</v>
      </c>
      <c r="K83" s="1" t="n">
        <v>3.5</v>
      </c>
      <c r="L83" s="1" t="n">
        <v>3.1</v>
      </c>
      <c r="M83" s="1" t="n">
        <v>3.3</v>
      </c>
      <c r="N83" s="1" t="n">
        <v>3.4</v>
      </c>
      <c r="O83" s="1" t="n">
        <f aca="false">H83*Methodology!$E$4+I83*Methodology!$E$5+J83*Methodology!$E$6+K83*Methodology!$E$7+L83*Methodology!$E$8+M83*Methodology!$E$9+N83*Methodology!$E$10</f>
        <v>3.295</v>
      </c>
      <c r="P83" s="1" t="n">
        <f aca="false">1+(O83*2.25)</f>
        <v>8.41375</v>
      </c>
      <c r="Q83" s="1" t="n">
        <f aca="false">ROUND(P83,0)</f>
        <v>8</v>
      </c>
      <c r="R83" s="1" t="s">
        <v>307</v>
      </c>
    </row>
    <row r="84" customFormat="false" ht="15" hidden="false" customHeight="false" outlineLevel="0" collapsed="false">
      <c r="A84" s="1" t="n">
        <v>2</v>
      </c>
      <c r="B84" s="1" t="s">
        <v>27</v>
      </c>
      <c r="C84" s="1" t="s">
        <v>308</v>
      </c>
      <c r="D84" s="1" t="s">
        <v>129</v>
      </c>
      <c r="E84" s="1" t="s">
        <v>309</v>
      </c>
      <c r="F84" s="1" t="s">
        <v>61</v>
      </c>
      <c r="G84" s="1" t="s">
        <v>62</v>
      </c>
      <c r="H84" s="1" t="n">
        <v>0.7</v>
      </c>
      <c r="I84" s="1" t="n">
        <v>0.4</v>
      </c>
      <c r="J84" s="1" t="n">
        <v>0.25</v>
      </c>
      <c r="K84" s="1" t="n">
        <v>0.2</v>
      </c>
      <c r="L84" s="1" t="n">
        <v>0.3</v>
      </c>
      <c r="M84" s="1" t="n">
        <v>0.6</v>
      </c>
      <c r="N84" s="1" t="n">
        <v>1</v>
      </c>
      <c r="O84" s="1" t="n">
        <f aca="false">H84*Methodology!$E$4+I84*Methodology!$E$5+J84*Methodology!$E$6+K84*Methodology!$E$7+L84*Methodology!$E$8+M84*Methodology!$E$9+N84*Methodology!$E$10</f>
        <v>0.4675</v>
      </c>
      <c r="P84" s="1" t="n">
        <f aca="false">1+(O84*2.25)</f>
        <v>2.051875</v>
      </c>
      <c r="Q84" s="1" t="n">
        <f aca="false">ROUND(P84,0)</f>
        <v>2</v>
      </c>
      <c r="R84" s="1" t="s">
        <v>310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311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312</v>
      </c>
      <c r="D3" s="10" t="s">
        <v>313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17</v>
      </c>
      <c r="D5" s="11" t="n">
        <f aca="false">AVERAGEIF(Evaluations!$A$2:$A$200,A5,Evaluations!$P$2:$P$200)</f>
        <v>1.88345588235294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16</v>
      </c>
      <c r="D6" s="11" t="n">
        <f aca="false">AVERAGEIF(Evaluations!$A$2:$A$200,A6,Evaluations!$P$2:$P$200)</f>
        <v>2.7342578125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21</v>
      </c>
      <c r="D7" s="11" t="n">
        <f aca="false">AVERAGEIF(Evaluations!$A$2:$A$200,A7,Evaluations!$P$2:$P$200)</f>
        <v>3.77232142857143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7</v>
      </c>
      <c r="D9" s="11" t="n">
        <f aca="false">AVERAGEIF(Evaluations!$A$2:$A$200,A9,Evaluations!$P$2:$P$200)</f>
        <v>5.98375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2</v>
      </c>
      <c r="D10" s="11" t="n">
        <f aca="false">AVERAGEIF(Evaluations!$A$2:$A$200,A10,Evaluations!$P$2:$P$200)</f>
        <v>7.305625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5</v>
      </c>
      <c r="D11" s="11" t="n">
        <f aca="false">AVERAGEIF(Evaluations!$A$2:$A$200,A11,Evaluations!$P$2:$P$200)</f>
        <v>8.385625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2026-07-31T03:01:12Z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