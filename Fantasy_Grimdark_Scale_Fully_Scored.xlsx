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<sst xmlns="http://schemas.openxmlformats.org/spreadsheetml/2006/main" count="642" uniqueCount="301">
  <si>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</si>
  <si>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</si>
  <si>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</si>
  <si>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</si>
  <si>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</si>
  <si>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</si>
  <si>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</si>
  <si>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</si>
  <si>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</si>
  <si>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</si>
  <si>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</si>
  <si>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</si>
  <si>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</si>
  <si>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</si>
  <si>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</si>
  <si>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</si>
  <si>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</si>
  <si>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</si>
  <si>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</si>
  <si>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</si>
  <si>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</si>
  <si>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</si>
  <si>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</si>
  <si>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</si>
  <si>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</si>
  <si>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</si>
  <si>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</si>
  <si>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</si>
  <si>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</si>
  <si>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</si>
  <si>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</si>
  <si>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</si>
  <si>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Extreme Dark Fantasy</t>
  </si>
  <si>
    <t xml:space="preserve">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</si>
  <si>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</si>
  <si>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</si>
  <si>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</si>
  <si>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</si>
  <si>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</si>
  <si>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</si>
  <si>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</si>
  <si>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</si>
  <si>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</si>
  <si>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</si>
  <si>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</si>
  <si>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</si>
  <si>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</si>
  <si>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</si>
  <si>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</si>
  <si>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</si>
  <si>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</si>
  <si>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</si>
  <si>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</si>
  <si>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</si>
  <si>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</si>
  <si>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</si>
  <si>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</si>
  <si>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</si>
  <si>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</si>
  <si>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</si>
  <si>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</si>
  <si>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</si>
  <si>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</si>
  <si>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</si>
  <si>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</si>
  <si>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</si>
  <si>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</si>
  <si>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</si>
  <si>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</si>
  <si>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</si>
  <si>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</si>
  <si>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</si>
  <si>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</si>
  <si>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</si>
  <si>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</si>
  <si>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</si>
  <si>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</si>
  <si>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</si>
  <si>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</si>
  <si>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</si>
  <si>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</si>
  <si>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</si>
  <si>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</si>
  <si>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</si>
  <si>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</si>
  <si>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</si>
  <si>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</si>
  <si>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</si>
  <si>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</si>
  <si>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</si>
  <si>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</si>
  <si>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</si>
  <si>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</si>
  <si>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</si>
  <si>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</si>
  <si>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</si>
  <si>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</si>
  <si>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</si>
  <si>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</si>
  <si>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</si>
  <si>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</si>
  <si>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</si>
  <si>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</si>
  <si>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</si>
  <si>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</si>
  <si>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</si>
  <si>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</si>
  <si>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</si>
  <si>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</si>
  <si>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</si>
  <si>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</si>
  <si>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</si>
  <si>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</si>
  <si>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</si>
  <si>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</si>
  <si>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</si>
  <si>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</si>
  <si>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</si>
  <si>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</si>
  <si>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</si>
  <si>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</si>
  <si>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</si>
  <si>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</si>
  <si>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</si>
  <si>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</si>
  <si>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</si>
  <si>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</si>
  <si>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</si>
  <si>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</si>
  <si>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</si>
  <si>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</si>
  <si>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</si>
  <si>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</si>
  <si>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</si>
  <si>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</si>
  <si>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</si>
  <si>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</si>
  <si>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</si>
  <si>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</si>
  <si>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</si>
  <si>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</si>
  <si>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</si>
  <si>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</si>
  <si>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</si>
  <si>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</si>
  <si>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</si>
  <si>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</si>
  <si>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</si>
  <si>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</si>
  <si>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</si>
  <si>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</si>
  <si>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</si>
  <si>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</si>
  <si>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</si>
  <si>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</si>
  <si>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</si>
  <si>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</si>
  <si>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</si>
  <si>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</si>
  <si>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</si>
  <si>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</si>
  <si>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</si>
  <si>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</si>
  <si>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</si>
  <si>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</si>
  <si>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</si>
  <si>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</si>
  <si>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</si>
  <si>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</si>
  <si>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</si>
  <si>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</si>
  <si>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</si>
  <si>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</si>
  <si>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</si>
  <si>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</si>
  <si>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</si>
  <si>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</si>
  <si>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</si>
  <si>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</si>
  <si>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</si>
  <si>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</si>
  <si>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</si>
  <si>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</si>
  <si>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</si>
  <si>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</si>
  <si>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</si>
  <si>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</si>
  <si>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</si>
  <si>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</si>
  <si>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</si>
  <si>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</si>
  <si>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</si>
  <si>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</si>
  <si>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</si>
  <si>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</si>
  <si>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</si>
  <si>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</si>
  <si>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</si>
  <si>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</si>
  <si>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</si>
  <si>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</si>
  <si>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</si>
  <si>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</si>
  <si>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</si>
  <si>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</si>
  <si>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</si>
  <si>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</si>
  <si>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</si>
  <si>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</si>
  <si>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</si>
  <si>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</si>
  <si>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</si>
  <si>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</si>
  <si>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</si>
  <si>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</si>
  <si>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</si>
  <si>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</si>
  <si>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</si>
  <si>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</si>
  <si>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</si>
  <si>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</si>
  <si>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</si>
  <si>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</si>
  <si>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</si>
  <si>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</si>
  <si>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</si>
  <si>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</si>
  <si>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</si>
  <si>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</si>
  <si>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</si>
  <si>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</si>
  <si>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</si>
  <si>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</si>
  <si>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</si>
  <si>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</si>
  <si>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</si>
  <si>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</si>
  <si>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</si>
  <si>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</si>
  <si>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</si>
  <si>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</si>
  <si>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</si>
  <si>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</si>
  <si>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</si>
  <si>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</si>
  <si>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</si>
  <si>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</si>
  <si>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</si>
  <si>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</si>
  <si>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</si>
  <si>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</si>
  <si>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</si>
  <si>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</si>
  <si>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</si>
  <si>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</si>
  <si>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</si>
  <si>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</si>
  <si>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</si>
  <si>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</si>
  <si>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</si>
  <si>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</si>
  <si>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</si>
  <si>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</si>
  <si>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</si>
  <si>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</si>
  <si>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</si>
  <si>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</si>
  <si>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</si>
  <si>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</si>
  <si>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</si>
  <si>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</si>
  <si>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</si>
  <si>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</si>
  <si>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</si>
  <si>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</si>
  <si>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</si>
  <si>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</si>
  <si>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</si>
  <si>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</si>
  <si>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</si>
  <si>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</si>
  <si>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</si>
  <si>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</si>
  <si>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</si>
  <si>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</si>
  <si>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</si>
  <si>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</si>
  <si>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</si>
  <si>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</si>
  <si>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</si>
  <si>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</si>
  <si>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</si>
  <si>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</si>
  <si>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</si>
  <si>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</si>
  <si>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Re:Zero − Starting Life in Another World</t>
  </si>
  <si>
    <t xml:space="preserve">Tappei Nagatsuki</t>
  </si>
  <si>
    <t xml:space="preserve">Subaru's “Return by Death” turns failure into genuinely repeated, graphic trauma — among the most psychologically brutal content on this scale — but the loops consistently let heroism and hard-won found-family actually fix things, so it stays a story about earning growth through suffering rather than accepting defeat.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</si>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</sst>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49869824"/>
        <c:axId val="88565798"/>
      </c:barChart>
      <c:catAx>
        <c:axId val="4986982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8565798"/>
        <c:crosses val="autoZero"/>
        <c:auto val="1"/>
        <c:lblAlgn val="ctr"/>
        <c:lblOffset val="100"/>
        <c:noMultiLvlLbl val="0"/>
      </c:catAx>
      <c:valAx>
        <c:axId val="8856579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98698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605520</xdr:colOff>
      <xdr:row>19</xdr:row>
      <xdr:rowOff>184680</xdr:rowOff>
    </xdr:to>
    <xdr:graphicFrame>
      <xdr:nvGraphicFramePr>
        <xdr:cNvPr id="1" name="Chart 1"/>
        <xdr:cNvGraphicFramePr/>
      </xdr:nvGraphicFramePr>
      <xdr:xfrm>
        <a:off x="7518960" y="438120"/>
        <a:ext cx="4886280" cy="342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tru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  <row r="80" customFormat="false" ht="15" hidden="false" customHeight="true" outlineLevel="0" collapsed="false">
      <c r="A80" s="1" t="n">
        <v>6</v>
      </c>
      <c r="B80" s="1" t="s">
        <v>31</v>
      </c>
      <c r="C80" s="1" t="s">
        <v>295</v>
      </c>
      <c r="D80" s="1" t="s">
        <v>244</v>
      </c>
      <c r="E80" s="1" t="s">
        <v>296</v>
      </c>
      <c r="F80" s="1" t="s">
        <v>61</v>
      </c>
      <c r="G80" s="1" t="s">
        <v>61</v>
      </c>
      <c r="H80" s="1" t="n">
        <v>2.3</v>
      </c>
      <c r="I80" s="1" t="n">
        <v>1.8</v>
      </c>
      <c r="J80" s="1" t="n">
        <v>2.1</v>
      </c>
      <c r="K80" s="1" t="n">
        <v>2.3</v>
      </c>
      <c r="L80" s="1" t="n">
        <v>1.9</v>
      </c>
      <c r="M80" s="1" t="n">
        <v>1.8</v>
      </c>
      <c r="N80" s="1" t="n">
        <v>3.1</v>
      </c>
      <c r="O80" s="1" t="n">
        <f aca="false">H80*Methodology!$E$4+I80*Methodology!$E$5+J80*Methodology!$E$6+K80*Methodology!$E$7+L80*Methodology!$E$8+M80*Methodology!$E$9+N80*Methodology!$E$10</f>
        <v>2.14</v>
      </c>
      <c r="P80" s="1" t="n">
        <f aca="false">1+(O80*2.25)</f>
        <v>5.815</v>
      </c>
      <c r="Q80" s="1" t="n">
        <f aca="false">ROUND(P80,0)</f>
        <v>6</v>
      </c>
      <c r="R80" s="1" t="s">
        <v>297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298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299</v>
      </c>
      <c r="D3" s="10" t="s">
        <v>300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7</v>
      </c>
      <c r="D9" s="11" t="n">
        <f aca="false">AVERAGEIF(Evaluations!$A$2:$A$200,A9,Evaluations!$P$2:$P$200)</f>
        <v>5.98375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2026-07-30T15:48:14Z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