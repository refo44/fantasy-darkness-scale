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<sst xmlns="http://schemas.openxmlformats.org/spreadsheetml/2006/main" count="614" uniqueCount="288">
  <si>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</si>
  <si>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</si>
  <si>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</si>
  <si>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</si>
  <si>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</si>
  <si>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</si>
  <si>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</si>
  <si>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</si>
  <si>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</si>
  <si>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</si>
  <si>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</si>
  <si>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</si>
  <si>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</si>
  <si>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</si>
  <si>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</si>
  <si>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</si>
  <si>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</si>
  <si>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</si>
  <si>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</si>
  <si>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</si>
  <si>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</si>
  <si>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</si>
  <si>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</si>
  <si>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</si>
  <si>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</si>
  <si>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</si>
  <si>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Wholesome Cozy Fantasy, Gentle Hopepunk &amp; Very Bright Fantasy</t>
  </si>
  <si>
    <t xml:space="preserve">Resilient Cozy Fantasy, Fierce Hopepunk &amp; Heroic Fantasy</t>
  </si>
  <si>
    <t xml:space="preserve">Balanced, Bittersweet Hopepunk or Melancholic Fantasy</t>
  </si>
  <si>
    <t xml:space="preserve">Fantasy in Gray Tones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</si>
  <si>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</si>
  <si>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</si>
  <si>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</si>
  <si>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</si>
  <si>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</si>
  <si>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</si>
  <si>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</si>
  <si>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</si>
  <si>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</si>
  <si>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</si>
  <si>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</si>
  <si>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</si>
  <si>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</si>
  <si>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</si>
  <si>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</si>
  <si>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</si>
  <si>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</si>
  <si>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</si>
  <si>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</si>
  <si>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</si>
  <si>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</si>
  <si>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</si>
  <si>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</si>
  <si>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</si>
  <si>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</si>
  <si>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</si>
  <si>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</si>
  <si>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</si>
  <si>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</si>
  <si>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</si>
  <si>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</si>
  <si>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</si>
  <si>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</si>
  <si>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</si>
  <si>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</si>
  <si>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</si>
  <si>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</si>
  <si>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</si>
  <si>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</si>
  <si>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</si>
  <si>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</si>
  <si>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</si>
  <si>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</si>
  <si>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</si>
  <si>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</si>
  <si>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</si>
  <si>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</si>
  <si>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</si>
  <si>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</si>
  <si>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</si>
  <si>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</si>
  <si>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</si>
  <si>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</si>
  <si>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</si>
  <si>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</si>
  <si>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</si>
  <si>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</si>
  <si>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</si>
  <si>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</si>
  <si>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</si>
  <si>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</si>
  <si>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</si>
  <si>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</si>
  <si>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</si>
  <si>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</si>
  <si>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</si>
  <si>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</si>
  <si>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</si>
  <si>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</si>
  <si>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</si>
  <si>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</si>
  <si>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</si>
  <si>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</si>
  <si>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</si>
  <si>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</si>
  <si>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</si>
  <si>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</si>
  <si>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</si>
  <si>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</si>
  <si>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</si>
  <si>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</si>
  <si>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</si>
  <si>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</si>
  <si>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</si>
  <si>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</si>
  <si>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</si>
  <si>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</si>
  <si>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</si>
  <si>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</si>
  <si>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</si>
  <si>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</si>
  <si>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</si>
  <si>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</si>
  <si>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</si>
  <si>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</si>
  <si>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</si>
  <si>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</si>
  <si>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</si>
  <si>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</si>
  <si>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</si>
  <si>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</si>
  <si>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</si>
  <si>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</si>
  <si>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</si>
  <si>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</si>
  <si>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</si>
  <si>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</si>
  <si>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</si>
  <si>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</si>
  <si>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</si>
  <si>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</si>
  <si>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</si>
  <si>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</si>
  <si>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</si>
  <si>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</si>
  <si>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</si>
  <si>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</si>
  <si>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</si>
  <si>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</si>
  <si>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</si>
  <si>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</si>
  <si>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</si>
  <si>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</si>
  <si>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</si>
  <si>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</si>
  <si>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</si>
  <si>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</si>
  <si>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</si>
  <si>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</si>
  <si>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</si>
  <si>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</si>
  <si>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</si>
  <si>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</si>
  <si>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</si>
  <si>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</si>
  <si>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</si>
  <si>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</si>
  <si>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</si>
  <si>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</si>
  <si>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</si>
  <si>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</si>
  <si>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</si>
  <si>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</si>
  <si>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</si>
  <si>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</si>
  <si>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</si>
  <si>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</si>
  <si>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</si>
  <si>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</si>
  <si>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</si>
  <si>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</si>
  <si>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</si>
  <si>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</si>
  <si>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</si>
  <si>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</si>
  <si>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</si>
  <si>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</si>
  <si>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</si>
  <si>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</si>
  <si>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</si>
  <si>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</si>
  <si>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</si>
  <si>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</si>
  <si>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</si>
  <si>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</si>
  <si>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</si>
  <si>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</si>
  <si>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</si>
  <si>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</si>
  <si>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</si>
  <si>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</si>
  <si>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</si>
  <si>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</si>
  <si>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</si>
  <si>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</si>
  <si>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</si>
  <si>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</si>
  <si>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</si>
  <si>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</si>
  <si>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</si>
  <si>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</si>
  <si>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</si>
  <si>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</si>
  <si>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</si>
  <si>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</si>
  <si>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</si>
  <si>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</si>
  <si>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</si>
  <si>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</si>
  <si>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</si>
  <si>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</si>
  <si>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</si>
  <si>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</si>
  <si>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</si>
  <si>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</si>
  <si>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</si>
  <si>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</si>
  <si>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</si>
  <si>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</si>
  <si>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</si>
  <si>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</si>
  <si>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</si>
  <si>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</si>
  <si>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</si>
  <si>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</si>
  <si>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</si>
  <si>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</si>
  <si>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</si>
  <si>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</si>
  <si>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</si>
  <si>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</si>
  <si>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</si>
  <si>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</si>
  <si>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</si>
  <si>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</si>
  <si>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</si>
  <si>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</si>
  <si>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</si>
  <si>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</si>
  <si>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</si>
  <si>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</si>
  <si>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</si>
  <si>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</si>
  <si>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</si>
  <si>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</si>
  <si>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</si>
  <si>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</si>
  <si>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</si>
  <si>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</si>
  <si>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</si>
  <si>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</si>
  <si>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</si>
  <si>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</si>
  <si>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</si>
  <si>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</si>
  <si>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</si>
  <si>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</si>
  <si>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</si>
  <si>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</si>
  <si>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</si>
  <si>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</si>
  <si>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</si>
  <si>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</si>
  <si>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</si>
  <si>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</si>
  <si>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</si>
  <si>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</si>
  <si>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</si>
  <si>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</si>
  <si>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</si>
  <si>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</si>
  <si>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Adventure Time</t>
  </si>
  <si>
    <t xml:space="preserve">TV / Comics</t>
  </si>
  <si>
    <t xml:space="preserve">Pendleton Ward</t>
  </si>
  <si>
    <t xml:space="preserve">The post-Mushroom-War setting and Ice King's tragic loss of self add real melancholy, but whimsical humor and consistently effective heroism keep the tone gentle overall.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</si>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</sst>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16</c:v>
                </c:pt>
                <c:pt idx="3">
                  <c:v>20</c:v>
                </c:pt>
                <c:pt idx="4">
                  <c:v>9</c:v>
                </c:pt>
                <c:pt idx="5">
                  <c:v>5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10681028"/>
        <c:axId val="15025122"/>
      </c:barChart>
      <c:catAx>
        <c:axId val="1068102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5025122"/>
        <c:crosses val="autoZero"/>
        <c:auto val="1"/>
        <c:lblAlgn val="ctr"/>
        <c:lblOffset val="100"/>
        <c:noMultiLvlLbl val="0"/>
      </c:catAx>
      <c:valAx>
        <c:axId val="15025122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6810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607320</xdr:colOff>
      <xdr:row>19</xdr:row>
      <xdr:rowOff>186480</xdr:rowOff>
    </xdr:to>
    <xdr:graphicFrame>
      <xdr:nvGraphicFramePr>
        <xdr:cNvPr id="1" name="Chart 1"/>
        <xdr:cNvGraphicFramePr/>
      </xdr:nvGraphicFramePr>
      <xdr:xfrm>
        <a:off x="7518960" y="438120"/>
        <a:ext cx="4888080" cy="3425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true" outlineLevel="0" collapsed="false">
      <c r="A26" s="1" t="s">
        <v>36</v>
      </c>
      <c r="B26" s="1" t="s">
        <v>37</v>
      </c>
    </row>
    <row r="27" customFormat="false" ht="15" hidden="false" customHeight="true" outlineLevel="0" collapsed="false">
      <c r="A27" s="1" t="s">
        <v>38</v>
      </c>
      <c r="B27" s="1" t="s">
        <v>39</v>
      </c>
    </row>
    <row r="28" customFormat="false" ht="15" hidden="false" customHeight="true" outlineLevel="0" collapsed="false">
      <c r="A28" s="1" t="s">
        <v>40</v>
      </c>
    </row>
    <row r="29" customFormat="false" ht="15" hidden="false" customHeight="true" outlineLevel="0" collapsed="false">
      <c r="A29" s="1" t="s">
        <v>41</v>
      </c>
      <c r="B29" s="1" t="s">
        <v>42</v>
      </c>
    </row>
    <row r="30" customFormat="false" ht="15" hidden="false" customHeight="true" outlineLevel="0" collapsed="false">
      <c r="A30" s="1" t="s">
        <v>43</v>
      </c>
      <c r="B30" s="1" t="s">
        <v>44</v>
      </c>
    </row>
    <row r="31" customFormat="false" ht="15" hidden="false" customHeight="true" outlineLevel="0" collapsed="false">
      <c r="A31" s="1" t="s">
        <v>45</v>
      </c>
      <c r="B31" s="1" t="s">
        <v>46</v>
      </c>
    </row>
    <row r="32" customFormat="false" ht="15" hidden="false" customHeight="tru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  <row r="76" customFormat="false" ht="15" hidden="false" customHeight="false" outlineLevel="0" collapsed="false">
      <c r="A76" s="1" t="n">
        <v>3</v>
      </c>
      <c r="B76" s="1" t="s">
        <v>28</v>
      </c>
      <c r="C76" s="1" t="s">
        <v>281</v>
      </c>
      <c r="D76" s="1" t="s">
        <v>282</v>
      </c>
      <c r="E76" s="1" t="s">
        <v>283</v>
      </c>
      <c r="F76" s="1" t="s">
        <v>61</v>
      </c>
      <c r="G76" s="1" t="s">
        <v>61</v>
      </c>
      <c r="H76" s="1" t="n">
        <v>0.85</v>
      </c>
      <c r="I76" s="1" t="n">
        <v>0.75</v>
      </c>
      <c r="J76" s="1" t="n">
        <v>0.6</v>
      </c>
      <c r="K76" s="1" t="n">
        <v>0.85</v>
      </c>
      <c r="L76" s="1" t="n">
        <v>0.55</v>
      </c>
      <c r="M76" s="1" t="n">
        <v>0.6</v>
      </c>
      <c r="N76" s="1" t="n">
        <v>1.15</v>
      </c>
      <c r="O76" s="1" t="n">
        <f aca="false">H76*Methodology!$E$4+I76*Methodology!$E$5+J76*Methodology!$E$6+K76*Methodology!$E$7+L76*Methodology!$E$8+M76*Methodology!$E$9+N76*Methodology!$E$10</f>
        <v>0.745</v>
      </c>
      <c r="P76" s="1" t="n">
        <f aca="false">1+(O76*2.25)</f>
        <v>2.67625</v>
      </c>
      <c r="Q76" s="1" t="n">
        <f aca="false">ROUND(P76,0)</f>
        <v>3</v>
      </c>
      <c r="R76" s="1" t="s">
        <v>284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285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286</v>
      </c>
      <c r="D3" s="10" t="s">
        <v>287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16</v>
      </c>
      <c r="D6" s="11" t="n">
        <f aca="false">AVERAGEIF(Evaluations!$A$2:$A$200,A6,Evaluations!$P$2:$P$200)</f>
        <v>2.7342578125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20</v>
      </c>
      <c r="D7" s="11" t="n">
        <f aca="false">AVERAGEIF(Evaluations!$A$2:$A$200,A7,Evaluations!$P$2:$P$200)</f>
        <v>3.77340625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5</v>
      </c>
      <c r="D9" s="11" t="n">
        <f aca="false">AVERAGEIF(Evaluations!$A$2:$A$200,A9,Evaluations!$P$2:$P$200)</f>
        <v>6.0445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1</v>
      </c>
      <c r="D10" s="11" t="n">
        <f aca="false">AVERAGEIF(Evaluations!$A$2:$A$200,A10,Evaluations!$P$2:$P$200)</f>
        <v>7.31125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2026-07-30T14:19:27Z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