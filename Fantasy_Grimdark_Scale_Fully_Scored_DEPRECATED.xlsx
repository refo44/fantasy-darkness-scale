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Evaluations" sheetId="2" state="visible" r:id="rId4"/>
    <sheet name="Summary"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<sst xmlns="http://schemas.openxmlformats.org/spreadsheetml/2006/main" count="698" uniqueCount="328">
  <si>
    <t xml:space="preserve">Fantasy Darkness Scale: Methodology</t>
  </si>
  <si>
    <t xml:space="preserve">Scale</t>
  </si>
  <si>
    <t xml:space="preserve">Definition</t>
  </si>
  <si>
    <t xml:space="preserve">Criterion</t>
  </si>
  <si>
    <t xml:space="preserve">Weight</t>
  </si>
  <si>
    <t xml:space="preserve">Criterion range</t>
  </si>
  <si>
    <t xml:space="preserve">0 = absent / opposite tendency; 4 = maximal grimdark tendency</t>
  </si>
  <si>
    <t xml:space="preserve">Structural Despair</t>
  </si>
  <si>
    <t xml:space="preserve">How strongly the world makes lasting improvement unlikely.</t>
  </si>
  <si>
    <t xml:space="preserve">Limited Heroism</t>
  </si>
  <si>
    <t xml:space="preserve">How little heroic action changes the wider structure of the world.</t>
  </si>
  <si>
    <t xml:space="preserve">Moral Cynicism</t>
  </si>
  <si>
    <t xml:space="preserve">How much the setting rewards selfishness, brutality or moral compromise.</t>
  </si>
  <si>
    <t xml:space="preserve">Structural Corruption</t>
  </si>
  <si>
    <t xml:space="preserve">How deeply injustice and exploitation are embedded in institutions.</t>
  </si>
  <si>
    <t xml:space="preserve">Redemption Difficulty</t>
  </si>
  <si>
    <t xml:space="preserve">How difficult meaningful moral recovery or forgiveness is.</t>
  </si>
  <si>
    <t xml:space="preserve">Narrative Acceptance of Injustice</t>
  </si>
  <si>
    <t xml:space="preserve">How strongly the story treats injustice as permanent or unavoidable.</t>
  </si>
  <si>
    <t xml:space="preserve">Explicit Darkness</t>
  </si>
  <si>
    <t xml:space="preserve">Visible violence, horror, cruelty, death and disturbing content.</t>
  </si>
  <si>
    <t xml:space="preserve">Total</t>
  </si>
  <si>
    <t xml:space="preserve">Final score</t>
  </si>
  <si>
    <t xml:space="preserve">1 + weighted internal score × 2.25</t>
  </si>
  <si>
    <t xml:space="preserve">Tier</t>
  </si>
  <si>
    <t xml:space="preserve">Category</t>
  </si>
  <si>
    <t xml:space="preserve">Wholesome Cozy Fantasy, Gentle Hopepunk &amp; Very Bright Fantasy</t>
  </si>
  <si>
    <t xml:space="preserve">Resilient Cozy Fantasy, Fierce Hopepunk &amp; Heroic Fantasy</t>
  </si>
  <si>
    <t xml:space="preserve">Balanced, Bittersweet Hopepunk or Melancholic Fantasy</t>
  </si>
  <si>
    <t xml:space="preserve">Fantasy in Gray Tones</t>
  </si>
  <si>
    <t xml:space="preserve">Gloomy Fantasy</t>
  </si>
  <si>
    <t xml:space="preserve">Dark Fantasy</t>
  </si>
  <si>
    <t xml:space="preserve">Extreme Dark Fantasy</t>
  </si>
  <si>
    <t xml:space="preserve">Grimdark</t>
  </si>
  <si>
    <t xml:space="preserve">Extreme Grimdark</t>
  </si>
  <si>
    <t xml:space="preserve">Very Extreme Grimdark</t>
  </si>
  <si>
    <t xml:space="preserve">Cozy Fantasy / Hopepunk columns</t>
  </si>
  <si>
    <t xml:space="preserve">Descriptive tags only -- excluded from the Weighted Internal Score / Calculated Score formula on purpose. Genre stance toward darkness is not the same as amount of darkness (e.g. Avatar: The Last Airbender is tagged Hopepunk but depicts real war and genocide).</t>
  </si>
  <si>
    <t xml:space="preserve">Cozy Fantasy = Yes requires</t>
  </si>
  <si>
    <t xml:space="preserve">Genuinely part of that specific book-publishing genre movement (comfort-focused, low-stakes, community/found-family), not just "has a cozy feeling."</t>
  </si>
  <si>
    <t xml:space="preserve">Hopepunk = Yes requires one of three variants</t>
  </si>
  <si>
    <t xml:space="preserve">  Gentle</t>
  </si>
  <si>
    <t xml:space="preserve">No real adversity needed -- kindness/community/anti-cynicism as the default, deliberately-valued state of the world (e.g. Totoro, Legends &amp; Lattes).</t>
  </si>
  <si>
    <t xml:space="preserve">  Fierce</t>
  </si>
  <si>
    <t xml:space="preserve">Real external/societal adversity (an oppressive system, empire, institution) + hope/kindness as active resistance to it (e.g. The House in the Cerulean Sea, Avatar: The Last Airbender).</t>
  </si>
  <si>
    <t xml:space="preserve">  Bittersweet</t>
  </si>
  <si>
    <t xml:space="preserve">Real existential adversity (mortality, loss, the passage of time -- not politically "resistable") + connection/kindness deliberately chosen anyway, knowing it will cost grief later (e.g. Frieren).</t>
  </si>
  <si>
    <t xml:space="preserve">Not sufficient for any variant</t>
  </si>
  <si>
    <t xml:space="preserve">Simply having a hopeful tone or a happy ending. Most tier 1-4 works are correctly Hopepunk = No.</t>
  </si>
  <si>
    <t xml:space="preserve">Work</t>
  </si>
  <si>
    <t xml:space="preserve">Media</t>
  </si>
  <si>
    <t xml:space="preserve">Creator / Studio</t>
  </si>
  <si>
    <t xml:space="preserve">Cozy Fantasy</t>
  </si>
  <si>
    <t xml:space="preserve">Hopepunk</t>
  </si>
  <si>
    <t xml:space="preserve">Weighted Internal Score</t>
  </si>
  <si>
    <t xml:space="preserve">Calculated Score</t>
  </si>
  <si>
    <t xml:space="preserve">Rounded Tier</t>
  </si>
  <si>
    <t xml:space="preserve">Notes</t>
  </si>
  <si>
    <t xml:space="preserve">My Neighbor Totoro</t>
  </si>
  <si>
    <t xml:space="preserve">Film</t>
  </si>
  <si>
    <t xml:space="preserve">Studio Ghibli / Hayao Miyazaki</t>
  </si>
  <si>
    <t xml:space="preserve">No</t>
  </si>
  <si>
    <t xml:space="preserve">Yes</t>
  </si>
  <si>
    <t xml:space="preserve">Everyday kindness, family care and healing dominate the worldview.</t>
  </si>
  <si>
    <t xml:space="preserve">Kiki's Delivery Service</t>
  </si>
  <si>
    <t xml:space="preserve">Low-stakes crisis resolved through community and personal growth.</t>
  </si>
  <si>
    <t xml:space="preserve">Ponyo</t>
  </si>
  <si>
    <t xml:space="preserve">Danger exists, but wonder, love and reconciliation remain central.</t>
  </si>
  <si>
    <t xml:space="preserve">Legends &amp; Lattes</t>
  </si>
  <si>
    <t xml:space="preserve">Novel</t>
  </si>
  <si>
    <t xml:space="preserve">Travis Baldree</t>
  </si>
  <si>
    <t xml:space="preserve">A flagship cozy fantasy built around community and second chances.</t>
  </si>
  <si>
    <t xml:space="preserve">The House in the Cerulean Sea</t>
  </si>
  <si>
    <t xml:space="preserve">T. J. Klune</t>
  </si>
  <si>
    <t xml:space="preserve">Institutional prejudice is real, but empathy and care can reform lives.</t>
  </si>
  <si>
    <t xml:space="preserve">A Conspiracy of Truths</t>
  </si>
  <si>
    <t xml:space="preserve">Alexandra Rowland</t>
  </si>
  <si>
    <t xml:space="preserve">Hopepunk through resistance, storytelling and collective action.</t>
  </si>
  <si>
    <t xml:space="preserve">A Choir of Lies</t>
  </si>
  <si>
    <t xml:space="preserve">Community repair and truth oppose manipulation and social harm.</t>
  </si>
  <si>
    <t xml:space="preserve">The Chronicles of Narnia</t>
  </si>
  <si>
    <t xml:space="preserve">Novels / Films</t>
  </si>
  <si>
    <t xml:space="preserve">C. S. Lewis</t>
  </si>
  <si>
    <t xml:space="preserve">Moral clarity, sacrifice and restoration make hope structurally dominant.</t>
  </si>
  <si>
    <t xml:space="preserve">Dungeons &amp; Dragons: Honor Among Thieves</t>
  </si>
  <si>
    <t xml:space="preserve">Jonathan Goldstein / John Francis Daley</t>
  </si>
  <si>
    <t xml:space="preserve">A flawed but fundamentally decent group succeeds through trust.</t>
  </si>
  <si>
    <t xml:space="preserve">Harry Potter and the Philosopher's Stone</t>
  </si>
  <si>
    <t xml:space="preserve">Novel / Film</t>
  </si>
  <si>
    <t xml:space="preserve">J. K. Rowling</t>
  </si>
  <si>
    <t xml:space="preserve">A dangerous world presented through wonder, friendship and clear moral agency.</t>
  </si>
  <si>
    <t xml:space="preserve">Harry Potter and the Chamber of Secrets</t>
  </si>
  <si>
    <t xml:space="preserve">Prejudice and institutional failure appear, but heroic action decisively works.</t>
  </si>
  <si>
    <t xml:space="preserve">The Hobbit</t>
  </si>
  <si>
    <t xml:space="preserve">Novel / Films</t>
  </si>
  <si>
    <t xml:space="preserve">J. R. R. Tolkien</t>
  </si>
  <si>
    <t xml:space="preserve">Adventure and greed create danger, but courage and mercy remain effective.</t>
  </si>
  <si>
    <t xml:space="preserve">Castle in the Sky</t>
  </si>
  <si>
    <t xml:space="preserve">Militarism is condemned and youthful solidarity prevails.</t>
  </si>
  <si>
    <t xml:space="preserve">Spirited Away</t>
  </si>
  <si>
    <t xml:space="preserve">A threatening spirit world is overcome through work, kindness and identity.</t>
  </si>
  <si>
    <t xml:space="preserve">Final Fantasy III &amp; V</t>
  </si>
  <si>
    <t xml:space="preserve">Video Games</t>
  </si>
  <si>
    <t xml:space="preserve">Square</t>
  </si>
  <si>
    <t xml:space="preserve">Classic crystal-centered heroism with restorative endings.</t>
  </si>
  <si>
    <t xml:space="preserve">Slayers</t>
  </si>
  <si>
    <t xml:space="preserve">Light Novels / Anime</t>
  </si>
  <si>
    <t xml:space="preserve">Hajime Kanzaka</t>
  </si>
  <si>
    <t xml:space="preserve">Comic destruction and selfishness never erase the fundamentally heroic frame.</t>
  </si>
  <si>
    <t xml:space="preserve">The Legend of Zelda</t>
  </si>
  <si>
    <t xml:space="preserve">Nintendo</t>
  </si>
  <si>
    <t xml:space="preserve">Recurring evil is serious, but courage and restoration are structurally reliable.</t>
  </si>
  <si>
    <t xml:space="preserve">Avatar: The Last Airbender</t>
  </si>
  <si>
    <t xml:space="preserve">TV / Novels / Comics</t>
  </si>
  <si>
    <t xml:space="preserve">Michael Dante DiMartino / Bryan Konietzko</t>
  </si>
  <si>
    <t xml:space="preserve">War and imperialism are severe, but redemption and systemic change are possible.</t>
  </si>
  <si>
    <t xml:space="preserve">Black Clover</t>
  </si>
  <si>
    <t xml:space="preserve">Manga / Anime / Film</t>
  </si>
  <si>
    <t xml:space="preserve">Yūki Tabata</t>
  </si>
  <si>
    <t xml:space="preserve">Class prejudice exists, yet effort, friendship and reform remain powerful.</t>
  </si>
  <si>
    <t xml:space="preserve">DanMachi</t>
  </si>
  <si>
    <t xml:space="preserve">Light Novels / Anime / Manga</t>
  </si>
  <si>
    <t xml:space="preserve">Fujino Ōmori</t>
  </si>
  <si>
    <t xml:space="preserve">Repeated danger and loss are balanced by altruistic heroism.</t>
  </si>
  <si>
    <t xml:space="preserve">Dragonlance</t>
  </si>
  <si>
    <t xml:space="preserve">Novels / Games</t>
  </si>
  <si>
    <t xml:space="preserve">Margaret Weis / Tracy Hickman</t>
  </si>
  <si>
    <t xml:space="preserve">Large-scale war and tragedy coexist with classic heroic restoration.</t>
  </si>
  <si>
    <t xml:space="preserve">Dungeon Meshi</t>
  </si>
  <si>
    <t xml:space="preserve">Manga / Anime</t>
  </si>
  <si>
    <t xml:space="preserve">Ryoko Kui</t>
  </si>
  <si>
    <t xml:space="preserve">Mortality and appetite are treated warmly, with strong communal resilience.</t>
  </si>
  <si>
    <t xml:space="preserve">Howl's Moving Castle</t>
  </si>
  <si>
    <t xml:space="preserve">War darkens the setting, but love and personal change remain decisive.</t>
  </si>
  <si>
    <t xml:space="preserve">The Boy and the Heron</t>
  </si>
  <si>
    <t xml:space="preserve">Grief and ambiguity are significant, though acceptance makes renewal possible.</t>
  </si>
  <si>
    <t xml:space="preserve">The Lord of the Rings</t>
  </si>
  <si>
    <t xml:space="preserve">Profound loss exists, but pity, fellowship and providence defeat despair.</t>
  </si>
  <si>
    <t xml:space="preserve">Final Fantasy IV</t>
  </si>
  <si>
    <t xml:space="preserve">Video Game</t>
  </si>
  <si>
    <t xml:space="preserve">Sacrifice and darkness are offset by unusually strong redemption arcs.</t>
  </si>
  <si>
    <t xml:space="preserve">Final Fantasy IX</t>
  </si>
  <si>
    <t xml:space="preserve">Existential mortality is faced through friendship and affirmation of life.</t>
  </si>
  <si>
    <t xml:space="preserve">Frieren: Beyond Journey's End</t>
  </si>
  <si>
    <t xml:space="preserve">Kanehito Yamada / Tsukasa Abe</t>
  </si>
  <si>
    <t xml:space="preserve">Melancholy and mortality deepen an otherwise humane worldview.</t>
  </si>
  <si>
    <t xml:space="preserve">Harry Potter and the Prisoner of Azkaban</t>
  </si>
  <si>
    <t xml:space="preserve">Institutional injustice grows, but compassion and agency remain effective.</t>
  </si>
  <si>
    <t xml:space="preserve">Harry Potter and the Goblet of Fire</t>
  </si>
  <si>
    <t xml:space="preserve">The return of organized evil shifts the saga toward a darker equilibrium.</t>
  </si>
  <si>
    <t xml:space="preserve">Earthsea</t>
  </si>
  <si>
    <t xml:space="preserve">Novels</t>
  </si>
  <si>
    <t xml:space="preserve">Ursula K. Le Guin</t>
  </si>
  <si>
    <t xml:space="preserve">Moral complexity is reconciled through balance, responsibility and wisdom.</t>
  </si>
  <si>
    <t xml:space="preserve">Witch Hat Atelier</t>
  </si>
  <si>
    <t xml:space="preserve">Kamome Shirahama</t>
  </si>
  <si>
    <t xml:space="preserve">Institutional secrecy causes harm, but learning and care point toward reform.</t>
  </si>
  <si>
    <t xml:space="preserve">Cormyr</t>
  </si>
  <si>
    <t xml:space="preserve">Ed Greenwood / Jeff Grubb</t>
  </si>
  <si>
    <t xml:space="preserve">Court intrigue and historical violence darken a still-heroic setting.</t>
  </si>
  <si>
    <t xml:space="preserve">Elantris</t>
  </si>
  <si>
    <t xml:space="preserve">Brandon Sanderson</t>
  </si>
  <si>
    <t xml:space="preserve">Social collapse is severe, but practical compassion rebuilds the community.</t>
  </si>
  <si>
    <t xml:space="preserve">The Stormlight Archive</t>
  </si>
  <si>
    <t xml:space="preserve">Trauma and war are central, but moral oaths make hope structurally effective.</t>
  </si>
  <si>
    <t xml:space="preserve">The Silmarillion &amp; Great Tales</t>
  </si>
  <si>
    <t xml:space="preserve">Books</t>
  </si>
  <si>
    <t xml:space="preserve">Long defeats and doomed heroism are framed by ultimate moral meaning.</t>
  </si>
  <si>
    <t xml:space="preserve">Final Fantasy I, II &amp; XII</t>
  </si>
  <si>
    <t xml:space="preserve">Square / Square Enix</t>
  </si>
  <si>
    <t xml:space="preserve">War and tyranny dominate, while heroes can still restore political order.</t>
  </si>
  <si>
    <t xml:space="preserve">Final Fantasy XIV</t>
  </si>
  <si>
    <t xml:space="preserve">MMORPG</t>
  </si>
  <si>
    <t xml:space="preserve">Square Enix</t>
  </si>
  <si>
    <t xml:space="preserve">Repeated apocalypses are met by unusually effective solidarity.</t>
  </si>
  <si>
    <t xml:space="preserve">Fullmetal Alchemist: Brotherhood</t>
  </si>
  <si>
    <t xml:space="preserve">Hiromu Arakawa</t>
  </si>
  <si>
    <t xml:space="preserve">State violence is systemic, but accountability, reform and redemption succeed.</t>
  </si>
  <si>
    <t xml:space="preserve">Harry Potter and the Order of the Phoenix</t>
  </si>
  <si>
    <t xml:space="preserve">Authoritarian denial and institutional abuse become central.</t>
  </si>
  <si>
    <t xml:space="preserve">Harry Potter and the Half-Blood Prince</t>
  </si>
  <si>
    <t xml:space="preserve">Moral decline and death intensify while resistance remains meaningful.</t>
  </si>
  <si>
    <t xml:space="preserve">Harry Potter and the Deathly Hallows</t>
  </si>
  <si>
    <t xml:space="preserve">A totalitarian order is defeated through sacrifice and collective resistance.</t>
  </si>
  <si>
    <t xml:space="preserve">Märchen Crown</t>
  </si>
  <si>
    <t xml:space="preserve">Manga</t>
  </si>
  <si>
    <t xml:space="preserve">Aka Akasaka / Aoi Kujira / Ajichika</t>
  </si>
  <si>
    <t xml:space="preserve">Placed provisionally based on its darker heroic-fantasy balance.</t>
  </si>
  <si>
    <t xml:space="preserve">Mistborn</t>
  </si>
  <si>
    <t xml:space="preserve">Oppressive systems can be overthrown, though costs and unintended consequences persist.</t>
  </si>
  <si>
    <t xml:space="preserve">Discworld</t>
  </si>
  <si>
    <t xml:space="preserve">Novels / Games / Comics</t>
  </si>
  <si>
    <t xml:space="preserve">Terry Pratchett</t>
  </si>
  <si>
    <t xml:space="preserve">Satire exposes injustice while repeatedly affirming ordinary decency.</t>
  </si>
  <si>
    <t xml:space="preserve">Nausicaä of the Valley of the Wind</t>
  </si>
  <si>
    <t xml:space="preserve">Ecological devastation is profound, but compassion can interrupt cycles of violence.</t>
  </si>
  <si>
    <t xml:space="preserve">Neverwinter Nights &amp; Baldur's Gate I–III</t>
  </si>
  <si>
    <t xml:space="preserve">BioWare / Black Isle / Larian</t>
  </si>
  <si>
    <t xml:space="preserve">Moral ambiguity and horror increase across the games, but player heroism remains effective.</t>
  </si>
  <si>
    <t xml:space="preserve">Ranking of Kings</t>
  </si>
  <si>
    <t xml:space="preserve">Sōsuke Tōka</t>
  </si>
  <si>
    <t xml:space="preserve">Cruel institutions and betrayal coexist with radical empathy and forgiveness.</t>
  </si>
  <si>
    <t xml:space="preserve">The Dark Elf / Drizzt</t>
  </si>
  <si>
    <t xml:space="preserve">R. A. Salvatore</t>
  </si>
  <si>
    <t xml:space="preserve">A brutal culture is countered by sustained moral resistance and chosen community.</t>
  </si>
  <si>
    <t xml:space="preserve">The Legend of Korra</t>
  </si>
  <si>
    <t xml:space="preserve">Political instability and trauma are heavier than in its predecessor.</t>
  </si>
  <si>
    <t xml:space="preserve">The Wheel of Time</t>
  </si>
  <si>
    <t xml:space="preserve">Novels / TV</t>
  </si>
  <si>
    <t xml:space="preserve">Robert Jordan / Brandon Sanderson</t>
  </si>
  <si>
    <t xml:space="preserve">Cosmic threat and social fracture culminate in meaningful heroic victory.</t>
  </si>
  <si>
    <t xml:space="preserve">Princess Mononoke</t>
  </si>
  <si>
    <t xml:space="preserve">Violence and competing interests resist simple resolution, but coexistence remains possible.</t>
  </si>
  <si>
    <t xml:space="preserve">The Kingkiller Chronicle</t>
  </si>
  <si>
    <t xml:space="preserve">Patrick Rothfuss</t>
  </si>
  <si>
    <t xml:space="preserve">A tragic frame and institutional indifference undercut heroic self-mythology.</t>
  </si>
  <si>
    <t xml:space="preserve">Tales from Earthsea</t>
  </si>
  <si>
    <t xml:space="preserve">Studio Ghibli / Gorō Miyazaki</t>
  </si>
  <si>
    <t xml:space="preserve">Fear, murder and imbalance create a notably darker tone than the novels.</t>
  </si>
  <si>
    <t xml:space="preserve">Final Fantasy VI</t>
  </si>
  <si>
    <t xml:space="preserve">The villain wins temporarily and the world is broken, yet rebuilding remains possible.</t>
  </si>
  <si>
    <t xml:space="preserve">Final Fantasy VII</t>
  </si>
  <si>
    <t xml:space="preserve">Video Games / Remake Project</t>
  </si>
  <si>
    <t xml:space="preserve">Corporate extraction, experimentation and planetary crisis make the world structurally bleak.</t>
  </si>
  <si>
    <t xml:space="preserve">Final Fantasy X</t>
  </si>
  <si>
    <t xml:space="preserve">A death-based religious order is dismantled through costly resistance.</t>
  </si>
  <si>
    <t xml:space="preserve">Final Fantasy XV</t>
  </si>
  <si>
    <t xml:space="preserve">Loss, occupation and sacrificial kingship make victory deeply bittersweet.</t>
  </si>
  <si>
    <t xml:space="preserve">Fullmetal Alchemist (2003)</t>
  </si>
  <si>
    <t xml:space="preserve">Anime</t>
  </si>
  <si>
    <t xml:space="preserve">Hiromu Arakawa / Bones</t>
  </si>
  <si>
    <t xml:space="preserve">The adaptation emphasizes irreversible loss and moral uncertainty.</t>
  </si>
  <si>
    <t xml:space="preserve">Grimgar: Ashes and Illusions</t>
  </si>
  <si>
    <t xml:space="preserve">Ao Jyumonji</t>
  </si>
  <si>
    <t xml:space="preserve">Survival is fragile and victories remain local, though companionship matters.</t>
  </si>
  <si>
    <t xml:space="preserve">The Elder Scrolls V: Skyrim</t>
  </si>
  <si>
    <t xml:space="preserve">Bethesda Game Studios</t>
  </si>
  <si>
    <t xml:space="preserve">War, decay and ancient threats coexist with highly effective player agency.</t>
  </si>
  <si>
    <t xml:space="preserve">Claymore</t>
  </si>
  <si>
    <t xml:space="preserve">Norihiro Yagi</t>
  </si>
  <si>
    <t xml:space="preserve">Body horror, exploitation and fragile identity define the setting.</t>
  </si>
  <si>
    <t xml:space="preserve">Final Fantasy XVI</t>
  </si>
  <si>
    <t xml:space="preserve">Slavery, war and resource collapse produce the franchise's darkest mainstream world.</t>
  </si>
  <si>
    <t xml:space="preserve">Goblin Slayer</t>
  </si>
  <si>
    <t xml:space="preserve">Light Novels / Manga / Anime</t>
  </si>
  <si>
    <t xml:space="preserve">Kumo Kagyu</t>
  </si>
  <si>
    <t xml:space="preserve">Local protection and friendship matter despite normalized brutality.</t>
  </si>
  <si>
    <t xml:space="preserve">Made in Abyss</t>
  </si>
  <si>
    <t xml:space="preserve">Akihito Tsukushi</t>
  </si>
  <si>
    <t xml:space="preserve">Wonder is inseparable from extreme bodily and psychological suffering.</t>
  </si>
  <si>
    <t xml:space="preserve">The Witcher</t>
  </si>
  <si>
    <t xml:space="preserve">Novels / Games / TV</t>
  </si>
  <si>
    <t xml:space="preserve">Andrzej Sapkowski</t>
  </si>
  <si>
    <t xml:space="preserve">Prejudice and political cruelty are systemic, though personal bonds retain meaning.</t>
  </si>
  <si>
    <t xml:space="preserve">Berserk</t>
  </si>
  <si>
    <t xml:space="preserve">Manga / Anime / Films</t>
  </si>
  <si>
    <t xml:space="preserve">Kentaro Miura</t>
  </si>
  <si>
    <t xml:space="preserve">Cosmic cruelty is extreme, but resistance, love and healing still retain moral weight.</t>
  </si>
  <si>
    <t xml:space="preserve">A Song of Ice and Fire</t>
  </si>
  <si>
    <t xml:space="preserve">George R. R. Martin</t>
  </si>
  <si>
    <t xml:space="preserve">Institutions reward violence and compromise while idealism rarely transforms the system.</t>
  </si>
  <si>
    <t xml:space="preserve">Dark Souls I–III</t>
  </si>
  <si>
    <t xml:space="preserve">FromSoftware / Hidetaka Miyazaki</t>
  </si>
  <si>
    <t xml:space="preserve">Civilization is trapped in decaying cycles and victories are deeply ambiguous.</t>
  </si>
  <si>
    <t xml:space="preserve">Elden Ring</t>
  </si>
  <si>
    <t xml:space="preserve">FromSoftware / Hidetaka Miyazaki / George R. R. Martin</t>
  </si>
  <si>
    <t xml:space="preserve">Cosmic order is shattered, with restoration options remaining morally uncertain.</t>
  </si>
  <si>
    <t xml:space="preserve">Fire Punch</t>
  </si>
  <si>
    <t xml:space="preserve">Tatsuki Fujimoto</t>
  </si>
  <si>
    <t xml:space="preserve">Identity, faith and heroism collapse under relentless exploitation and trauma.</t>
  </si>
  <si>
    <t xml:space="preserve">The First Law</t>
  </si>
  <si>
    <t xml:space="preserve">Joe Abercrombie</t>
  </si>
  <si>
    <t xml:space="preserve">Power systems absorb reform and repeatedly turn growth into compromise or failure.</t>
  </si>
  <si>
    <t xml:space="preserve">Warhammer 40,000</t>
  </si>
  <si>
    <t xml:space="preserve">Tabletop / Novels / Games / Animation</t>
  </si>
  <si>
    <t xml:space="preserve">Games Workshop</t>
  </si>
  <si>
    <t xml:space="preserve">War, oppression and decay are permanent structural conditions of the universe.</t>
  </si>
  <si>
    <t xml:space="preserve">The Little Prince</t>
  </si>
  <si>
    <t xml:space="preserve">Book</t>
  </si>
  <si>
    <t xml:space="preserve">Antoine de Saint-Exupéry</t>
  </si>
  <si>
    <t xml:space="preserve">A gentle, melancholic fable about loss, love, and learning to truly see — treated with poignant restraint rather than grimness.</t>
  </si>
  <si>
    <t xml:space="preserve">Adventure Time</t>
  </si>
  <si>
    <t xml:space="preserve">TV / Comics</t>
  </si>
  <si>
    <t xml:space="preserve">Pendleton Ward</t>
  </si>
  <si>
    <t xml:space="preserve">The post-Mushroom-War setting and Ice King's tragic loss of self add real melancholy, but whimsical humor and consistently effective heroism keep the tone gentle overall.</t>
  </si>
  <si>
    <t xml:space="preserve">Star vs. the Forces of Evil</t>
  </si>
  <si>
    <t xml:space="preserve">Daron Nefcy</t>
  </si>
  <si>
    <t xml:space="preserve">Generations of Mewman genocide against Monsters drive the later seasons, and the finale resolves the conflict by erasing magic outright rather than reforming the system — heavier than most gray-tones peers, though Star's reconciliation arc and the show's comedic early seasons keep real hope in the frame.</t>
  </si>
  <si>
    <t xml:space="preserve">Clevatess</t>
  </si>
  <si>
    <t xml:space="preserve">Yūji Iwahara</t>
  </si>
  <si>
    <t xml:space="preserve">A demon king raising a human infant instead of annihilating humanity is genuinely tender, but the surrounding world is severe — infant trafficking and experimentation, and a named character's backstory of sustained abuse push explicit darkness above most of this tier.</t>
  </si>
  <si>
    <t xml:space="preserve">The Saga of Tanya the Evil</t>
  </si>
  <si>
    <t xml:space="preserve">Light Novels / Manga / Anime / Film</t>
  </si>
  <si>
    <t xml:space="preserve">Carlo Zen</t>
  </si>
  <si>
    <t xml:space="preserve">A reincarnated corporate pragmatist becomes a ruthlessly effective officer in a magic-augmented World War I that never ends; the satire's thesis is that cynicism outperforms idealism, and neither Tanya nor the war itself ever really changes.</t>
  </si>
  <si>
    <t xml:space="preserve">Re:Zero − Starting Life in Another World</t>
  </si>
  <si>
    <t xml:space="preserve">Tappei Nagatsuki</t>
  </si>
  <si>
    <t xml:space="preserve">Subaru's “Return by Death” turns failure into genuinely repeated, graphic trauma — among the most psychologically brutal content on this scale — but the loops consistently let heroism and hard-won found-family actually fix things, so it stays a story about earning growth through suffering rather than accepting defeat.</t>
  </si>
  <si>
    <t xml:space="preserve">Legend</t>
  </si>
  <si>
    <t xml:space="preserve">Ridley Scott</t>
  </si>
  <si>
    <t xml:space="preserve">A mythic, single-villain fairy tale rather than anything institutional: Darkness's gothic menace and the stallion unicorn's death carry real atmospheric horror, but heroism is straightforward and decisive, and Lili's temptation is treated as innocence exploited rather than culpability.</t>
  </si>
  <si>
    <t xml:space="preserve">The NeverEnding Story</t>
  </si>
  <si>
    <t xml:space="preserve">Michael Ende</t>
  </si>
  <si>
    <t xml:space="preserve">Scored against the full novel, not just the 1984 film (which only adapts the first half): Artax's death and the Nothing's nihilism are real, but the book's second half — Bastian's own descent into cruelty once granted unlimited wish-power, and the hard-won cost of finding his way back to himself — adds real moral cynicism and redemption difficulty the film omits entirely.</t>
  </si>
  <si>
    <t xml:space="preserve">Shin Sekai Yori (From the New World)</t>
  </si>
  <si>
    <t xml:space="preserve">Novel / Anime</t>
  </si>
  <si>
    <t xml:space="preserve">Yusuke Kishi</t>
  </si>
  <si>
    <t xml:space="preserve">A seemingly idyllic future society is built on secret child eugenics (killing children flagged as psychologically “unstable”) and the enslavement/extermination of the Queerats, who turn out to be humanity's own left-behind kin; the protagonists win a tactical victory but explicitly fail to dismantle the totalitarian system, which persists unchanged at the end.</t>
  </si>
  <si>
    <t xml:space="preserve">Mushishi</t>
  </si>
  <si>
    <t xml:space="preserve">Yuki Urushibara</t>
  </si>
  <si>
    <t xml:space="preserve">An anthology of quiet, often irreversible personal tragedy (permanent loss of a limb, a mother's death, lasting grief) rather than institutional darkness — there's no villain, no war, no system to critique, just impermanence met with care. Bittersweet Hopepunk: arguably the purest fit on this scale, since mortality-and-connection-anyway is the show's entire structure, not a framing device.</t>
  </si>
  <si>
    <t xml:space="preserve">Record of Lodoss War</t>
  </si>
  <si>
    <t xml:space="preserve">Novels / Anime</t>
  </si>
  <si>
    <t xml:space="preserve">Ryo Mizuno</t>
  </si>
  <si>
    <t xml:space="preserve">Classic D&amp;D-inspired epic fantasy: the Marmo invasion costs both warring kings their lives and the party its dwarf, Ghim, in the finale, and the Grey Witch Karla's whole modus operandi is centuries of orchestrating wars to keep any nation from growing too powerful — but the heroes still win a decisive, restorative victory, keeping it in Dragonlance's company rather than heavier territory.</t>
  </si>
  <si>
    <t xml:space="preserve">The Legend of Vox Machina</t>
  </si>
  <si>
    <t xml:space="preserve">TV</t>
  </si>
  <si>
    <t xml:space="preserve">Critical Role</t>
  </si>
  <si>
    <t xml:space="preserve">TV-MA adult animation with real gore, a torture scene and on-screen child deaths, plus Percy's demon-fueled revenge arc and Vax'ildan's permanent death paying his soul to the Raven Queen — but the found-family heart, crude comedy, and consistently successful heroism (Whitestone liberated, Percy's darkness overcome) keep hope structurally dominant.</t>
  </si>
  <si>
    <t xml:space="preserve">The Nightmare Before Christmas</t>
  </si>
  <si>
    <t xml:space="preserve">Tim Burton / Henry Selick</t>
  </si>
  <si>
    <t xml:space="preserve">Corrected from an earlier tier-1 placement: the pervasive Halloween Town horror aesthetic (skeleton/monster designs throughout, Sally's repeated self-dismemberment, Oogie Boogie sadistically gambling with Santa's life, children traumatized by monstrous gifts) is a lot of visible, disturbing content for a film whose plot ultimately resolves safely — Explicit Darkness was underweighted the first time.</t>
  </si>
  <si>
    <t xml:space="preserve">Willow</t>
  </si>
  <si>
    <t xml:space="preserve">Ron Howard / George Lucas</t>
  </si>
  <si>
    <t xml:space="preserve">Queen Bavmorda's decree to imprison every pregnant woman in her kingdom to prevent a prophesied downfall is genuinely severe institutional cruelty, and Airk dies in battle — but the comic-tinged transformation magic, Sorsha's clean redemption arc, and Bavmorda's almost ironic self-inflicted defeat keep the register close to Narnia and Castle in the Sky.</t>
  </si>
  <si>
    <t xml:space="preserve">Fantasy Darkness Scale Summary</t>
  </si>
  <si>
    <t xml:space="preserve">Works</t>
  </si>
  <si>
    <t xml:space="preserve">Average Calculated Score</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</si>
</sst>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9">
    <font>
      <sz val="10"/>
      <name val="Arial"/>
      <family val="2"/>
      <charset val="1"/>
    </font>
    <font>
      <sz val="10"/>
      <name val="Arial"/>
      <family val="0"/>
    </font>
    <font>
      <sz val="10"/>
      <name val="Arial"/>
      <family val="0"/>
    </font>
    <font>
      <sz val="10"/>
      <name val="Arial"/>
      <family val="0"/>
    </font>
    <font>
      <b val="true"/>
      <sz val="16"/>
      <color rgb="FFFFFFFF"/>
      <name val="Calibri"/>
      <family val="0"/>
      <charset val="1"/>
    </font>
    <font>
      <sz val="11"/>
      <name val="Calibri"/>
      <family val="0"/>
      <charset val="1"/>
    </font>
    <font>
      <b val="true"/>
      <sz val="11"/>
      <color rgb="FFFFFFFF"/>
      <name val="Calibri"/>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2937"/>
        <bgColor rgb="FF111827"/>
      </patternFill>
    </fill>
    <fill>
      <patternFill patternType="solid">
        <fgColor rgb="FF374151"/>
        <bgColor rgb="FF1F2937"/>
      </patternFill>
    </fill>
    <fill>
      <patternFill patternType="solid">
        <fgColor rgb="FF111827"/>
        <bgColor rgb="FF1F293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2">
    <dxf>
      <fill>
        <patternFill patternType="solid">
          <fgColor rgb="FF111827"/>
          <bgColor rgb="FF000000"/>
        </patternFill>
      </fill>
    </dxf>
    <dxf>
      <fill>
        <patternFill patternType="solid">
          <bgColor rgb="FF000000"/>
        </patternFill>
      </fill>
    </dxf>
    <dxf>
      <fill>
        <patternFill patternType="solid">
          <fgColor rgb="FFFFFFFF"/>
          <bgColor rgb="FF000000"/>
        </patternFill>
      </fill>
    </dxf>
    <dxf>
      <fill>
        <patternFill patternType="solid">
          <fgColor rgb="FFDEFCE5"/>
          <bgColor rgb="FF000000"/>
        </patternFill>
      </fill>
    </dxf>
    <dxf>
      <fill>
        <patternFill patternType="solid">
          <fgColor rgb="FFE1FBE2"/>
          <bgColor rgb="FF000000"/>
        </patternFill>
      </fill>
    </dxf>
    <dxf>
      <fill>
        <patternFill patternType="solid">
          <fgColor rgb="FFE9F9DB"/>
          <bgColor rgb="FF000000"/>
        </patternFill>
      </fill>
    </dxf>
    <dxf>
      <fill>
        <patternFill patternType="solid">
          <fgColor rgb="FFF5F6D0"/>
          <bgColor rgb="FF000000"/>
        </patternFill>
      </fill>
    </dxf>
    <dxf>
      <fill>
        <patternFill patternType="solid">
          <fgColor rgb="FFF8F5CD"/>
          <bgColor rgb="FF000000"/>
        </patternFill>
      </fill>
    </dxf>
    <dxf>
      <fill>
        <patternFill patternType="solid">
          <fgColor rgb="FFF9F5CC"/>
          <bgColor rgb="FF000000"/>
        </patternFill>
      </fill>
    </dxf>
    <dxf>
      <fill>
        <patternFill patternType="solid">
          <fgColor rgb="FFFBF4CA"/>
          <bgColor rgb="FF000000"/>
        </patternFill>
      </fill>
    </dxf>
    <dxf>
      <fill>
        <patternFill patternType="solid">
          <fgColor rgb="FFFECACA"/>
          <bgColor rgb="FF000000"/>
        </patternFill>
      </fill>
    </dxf>
    <dxf>
      <fill>
        <patternFill patternType="solid">
          <fgColor rgb="FFFED0C9"/>
          <bgColor rgb="FF000000"/>
        </patternFill>
      </fill>
    </dxf>
    <dxf>
      <fill>
        <patternFill patternType="solid">
          <fgColor rgb="FFFED2C9"/>
          <bgColor rgb="FF000000"/>
        </patternFill>
      </fill>
    </dxf>
    <dxf>
      <fill>
        <patternFill patternType="solid">
          <fgColor rgb="FFFED6C9"/>
          <bgColor rgb="FF000000"/>
        </patternFill>
      </fill>
    </dxf>
    <dxf>
      <fill>
        <patternFill patternType="solid">
          <fgColor rgb="FFFEDAC8"/>
          <bgColor rgb="FF000000"/>
        </patternFill>
      </fill>
    </dxf>
    <dxf>
      <fill>
        <patternFill patternType="solid">
          <fgColor rgb="FFFEE2C8"/>
          <bgColor rgb="FF000000"/>
        </patternFill>
      </fill>
    </dxf>
    <dxf>
      <fill>
        <patternFill patternType="solid">
          <fgColor rgb="FFFEE4C8"/>
          <bgColor rgb="FF000000"/>
        </patternFill>
      </fill>
    </dxf>
    <dxf>
      <fill>
        <patternFill patternType="solid">
          <fgColor rgb="FFFEE7C7"/>
          <bgColor rgb="FF000000"/>
        </patternFill>
      </fill>
    </dxf>
    <dxf>
      <fill>
        <patternFill patternType="solid">
          <fgColor rgb="FFFEE8C7"/>
          <bgColor rgb="FF000000"/>
        </patternFill>
      </fill>
    </dxf>
    <dxf>
      <fill>
        <patternFill patternType="solid">
          <fgColor rgb="FFFEE9C7"/>
          <bgColor rgb="FF000000"/>
        </patternFill>
      </fill>
    </dxf>
    <dxf>
      <fill>
        <patternFill patternType="solid">
          <fgColor rgb="FFFEECC7"/>
          <bgColor rgb="FF000000"/>
        </patternFill>
      </fill>
    </dxf>
    <dxf>
      <fill>
        <patternFill patternType="solid">
          <fgColor rgb="FFFEEEC7"/>
          <bgColor rgb="FF000000"/>
        </patternFill>
      </fill>
    </dxf>
    <dxf>
      <fill>
        <patternFill patternType="solid">
          <fgColor rgb="FFFEEFC7"/>
          <bgColor rgb="FF000000"/>
        </patternFill>
      </fill>
    </dxf>
    <dxf>
      <fill>
        <patternFill patternType="solid">
          <fgColor rgb="FFFEF0C7"/>
          <bgColor rgb="FF000000"/>
        </patternFill>
      </fill>
    </dxf>
    <dxf>
      <fill>
        <patternFill patternType="solid">
          <fgColor rgb="FFFEF1C7"/>
          <bgColor rgb="FF000000"/>
        </patternFill>
      </fill>
    </dxf>
    <dxf>
      <fill>
        <patternFill patternType="solid">
          <fgColor rgb="FFFEF2C7"/>
          <bgColor rgb="FF000000"/>
        </patternFill>
      </fill>
    </dxf>
    <dxf>
      <fill>
        <patternFill patternType="solid">
          <fgColor rgb="FFDDFCE6"/>
          <bgColor rgb="FF000000"/>
        </patternFill>
      </fill>
    </dxf>
    <dxf>
      <fill>
        <patternFill patternType="solid">
          <fgColor rgb="FFE4FADF"/>
          <bgColor rgb="FF000000"/>
        </patternFill>
      </fill>
    </dxf>
    <dxf>
      <fill>
        <patternFill patternType="solid">
          <fgColor rgb="FFE7F9DC"/>
          <bgColor rgb="FF000000"/>
        </patternFill>
      </fill>
    </dxf>
    <dxf>
      <fill>
        <patternFill patternType="solid">
          <fgColor rgb="FFF2F7D3"/>
          <bgColor rgb="FF000000"/>
        </patternFill>
      </fill>
    </dxf>
    <dxf>
      <fill>
        <patternFill patternType="solid">
          <fgColor rgb="FFFECDC9"/>
          <bgColor rgb="FF000000"/>
        </patternFill>
      </fill>
    </dxf>
    <dxf>
      <fill>
        <patternFill patternType="solid">
          <fgColor rgb="FFFECEC9"/>
          <bgColor rgb="FF000000"/>
        </patternFill>
      </fill>
    </dxf>
    <dxf>
      <fill>
        <patternFill patternType="solid">
          <fgColor rgb="FFFED7C9"/>
          <bgColor rgb="FF000000"/>
        </patternFill>
      </fill>
    </dxf>
    <dxf>
      <fill>
        <patternFill patternType="solid">
          <fgColor rgb="FFFEDEC8"/>
          <bgColor rgb="FF000000"/>
        </patternFill>
      </fill>
    </dxf>
    <dxf>
      <fill>
        <patternFill patternType="solid">
          <fgColor rgb="FFFEE6C8"/>
          <bgColor rgb="FF000000"/>
        </patternFill>
      </fill>
    </dxf>
    <dxf>
      <fill>
        <patternFill patternType="solid">
          <fgColor rgb="FFFEEBC7"/>
          <bgColor rgb="FF000000"/>
        </patternFill>
      </fill>
    </dxf>
    <dxf>
      <fill>
        <patternFill patternType="solid">
          <fgColor rgb="FFFEEDC7"/>
          <bgColor rgb="FF000000"/>
        </patternFill>
      </fill>
    </dxf>
    <dxf>
      <fill>
        <patternFill patternType="solid">
          <fgColor rgb="FFFEF3C7"/>
          <bgColor rgb="FF000000"/>
        </patternFill>
      </fill>
    </dxf>
    <dxf>
      <fill>
        <patternFill patternType="solid">
          <fgColor rgb="FFEAF9DA"/>
          <bgColor rgb="FF000000"/>
        </patternFill>
      </fill>
    </dxf>
    <dxf>
      <fill>
        <patternFill patternType="solid">
          <fgColor rgb="FFECF8D8"/>
          <bgColor rgb="FF000000"/>
        </patternFill>
      </fill>
    </dxf>
    <dxf>
      <fill>
        <patternFill patternType="solid">
          <fgColor rgb="FFEDF8D7"/>
          <bgColor rgb="FF000000"/>
        </patternFill>
      </fill>
    </dxf>
    <dxf>
      <fill>
        <patternFill patternType="solid">
          <fgColor rgb="FFEFF7D5"/>
          <bgColor rgb="FF000000"/>
        </patternFill>
      </fill>
    </dxf>
    <dxf>
      <fill>
        <patternFill patternType="solid">
          <fgColor rgb="FFFECCC9"/>
          <bgColor rgb="FF000000"/>
        </patternFill>
      </fill>
    </dxf>
    <dxf>
      <fill>
        <patternFill patternType="solid">
          <fgColor rgb="FFFED5C9"/>
          <bgColor rgb="FF000000"/>
        </patternFill>
      </fill>
    </dxf>
    <dxf>
      <fill>
        <patternFill patternType="solid">
          <fgColor rgb="FFFEDCC8"/>
          <bgColor rgb="FF000000"/>
        </patternFill>
      </fill>
    </dxf>
    <dxf>
      <fill>
        <patternFill patternType="solid">
          <fgColor rgb="FFFEE1C8"/>
          <bgColor rgb="FF000000"/>
        </patternFill>
      </fill>
    </dxf>
    <dxf>
      <fill>
        <patternFill patternType="solid">
          <fgColor rgb="FFFEE5C8"/>
          <bgColor rgb="FF000000"/>
        </patternFill>
      </fill>
    </dxf>
    <dxf>
      <fill>
        <patternFill patternType="solid">
          <fgColor rgb="FFFEEAC7"/>
          <bgColor rgb="FF000000"/>
        </patternFill>
      </fill>
    </dxf>
    <dxf>
      <fill>
        <patternFill patternType="solid">
          <fgColor rgb="FFDCFCE7"/>
          <bgColor rgb="FF000000"/>
        </patternFill>
      </fill>
    </dxf>
    <dxf>
      <fill>
        <patternFill patternType="solid">
          <fgColor rgb="FFFED1C9"/>
          <bgColor rgb="FF000000"/>
        </patternFill>
      </fill>
    </dxf>
    <dxf>
      <fill>
        <patternFill patternType="solid">
          <fgColor rgb="FFFED4C9"/>
          <bgColor rgb="FF000000"/>
        </patternFill>
      </fill>
    </dxf>
    <dxf>
      <fill>
        <patternFill patternType="solid">
          <fgColor rgb="FFFEDFC8"/>
          <bgColor rgb="FF000000"/>
        </patternFill>
      </fill>
    </dxf>
    <dxf>
      <fill>
        <patternFill patternType="solid">
          <fgColor rgb="FFFEE3C8"/>
          <bgColor rgb="FF000000"/>
        </patternFill>
      </fill>
    </dxf>
    <dxf>
      <fill>
        <patternFill patternType="solid">
          <fgColor rgb="FFE3FBE1"/>
          <bgColor rgb="FF000000"/>
        </patternFill>
      </fill>
    </dxf>
    <dxf>
      <fill>
        <patternFill patternType="solid">
          <fgColor rgb="FFE6FADE"/>
          <bgColor rgb="FF000000"/>
        </patternFill>
      </fill>
    </dxf>
    <dxf>
      <fill>
        <patternFill patternType="solid">
          <fgColor rgb="FFF6F5CE"/>
          <bgColor rgb="FF000000"/>
        </patternFill>
      </fill>
    </dxf>
    <dxf>
      <fill>
        <patternFill patternType="solid">
          <fgColor rgb="FFFED9C8"/>
          <bgColor rgb="FF000000"/>
        </patternFill>
      </fill>
    </dxf>
    <dxf>
      <fill>
        <patternFill patternType="solid">
          <fgColor rgb="FFFECBC9"/>
          <bgColor rgb="FF000000"/>
        </patternFill>
      </fill>
    </dxf>
    <dxf>
      <fill>
        <patternFill patternType="solid">
          <fgColor rgb="FFE0FBE3"/>
          <bgColor rgb="FF000000"/>
        </patternFill>
      </fill>
    </dxf>
    <dxf>
      <fill>
        <patternFill patternType="solid">
          <fgColor rgb="FFF0F7D4"/>
          <bgColor rgb="FF000000"/>
        </patternFill>
      </fill>
    </dxf>
    <dxf>
      <fill>
        <patternFill patternType="solid">
          <fgColor rgb="FFFCF4C9"/>
          <bgColor rgb="FF000000"/>
        </patternFill>
      </fill>
    </dxf>
    <dxf>
      <fill>
        <patternFill patternType="solid">
          <fgColor rgb="FFFECFC9"/>
          <bgColor rgb="FF000000"/>
        </patternFill>
      </fill>
    </dxf>
    <dxf>
      <fill>
        <patternFill patternType="solid">
          <fgColor rgb="FFFED8C9"/>
          <bgColor rgb="FF000000"/>
        </patternFill>
      </fill>
    </dxf>
    <dxf>
      <fill>
        <patternFill patternType="solid">
          <fgColor rgb="FFFEDBC8"/>
          <bgColor rgb="FF000000"/>
        </patternFill>
      </fill>
    </dxf>
    <dxf>
      <fill>
        <patternFill patternType="solid">
          <fgColor rgb="FF7F1D1D"/>
          <bgColor rgb="FF000000"/>
        </patternFill>
      </fill>
    </dxf>
    <dxf>
      <fill>
        <patternFill patternType="solid">
          <fgColor rgb="FF892D26"/>
          <bgColor rgb="FF000000"/>
        </patternFill>
      </fill>
    </dxf>
    <dxf>
      <fill>
        <patternFill patternType="solid">
          <fgColor rgb="FF9D4C37"/>
          <bgColor rgb="FF000000"/>
        </patternFill>
      </fill>
    </dxf>
    <dxf>
      <fill>
        <patternFill patternType="solid">
          <fgColor rgb="FF9D4D37"/>
          <bgColor rgb="FF000000"/>
        </patternFill>
      </fill>
    </dxf>
    <dxf>
      <fill>
        <patternFill patternType="solid">
          <fgColor rgb="FF9E4E38"/>
          <bgColor rgb="FF000000"/>
        </patternFill>
      </fill>
    </dxf>
    <dxf>
      <fill>
        <patternFill patternType="solid">
          <fgColor rgb="FF9F5039"/>
          <bgColor rgb="FF000000"/>
        </patternFill>
      </fill>
    </dxf>
    <dxf>
      <fill>
        <patternFill patternType="solid">
          <fgColor rgb="FFB4714B"/>
          <bgColor rgb="FF000000"/>
        </patternFill>
      </fill>
    </dxf>
    <dxf>
      <fill>
        <patternFill patternType="solid">
          <fgColor rgb="FFCD9960"/>
          <bgColor rgb="FF000000"/>
        </patternFill>
      </fill>
    </dxf>
    <dxf>
      <fill>
        <patternFill patternType="solid">
          <fgColor rgb="FFCE9A61"/>
          <bgColor rgb="FF000000"/>
        </patternFill>
      </fill>
    </dxf>
    <dxf>
      <fill>
        <patternFill patternType="solid">
          <fgColor rgb="FFCE9B62"/>
          <bgColor rgb="FF000000"/>
        </patternFill>
      </fill>
    </dxf>
    <dxf>
      <fill>
        <patternFill patternType="solid">
          <fgColor rgb="FFD09E63"/>
          <bgColor rgb="FF000000"/>
        </patternFill>
      </fill>
    </dxf>
    <dxf>
      <fill>
        <patternFill patternType="solid">
          <fgColor rgb="FFDCFCE5"/>
          <bgColor rgb="FF000000"/>
        </patternFill>
      </fill>
    </dxf>
    <dxf>
      <fill>
        <patternFill patternType="solid">
          <fgColor rgb="FFDCFCE6"/>
          <bgColor rgb="FF000000"/>
        </patternFill>
      </fill>
    </dxf>
    <dxf>
      <fill>
        <patternFill patternType="solid">
          <fgColor rgb="FFE4F7CE"/>
          <bgColor rgb="FF000000"/>
        </patternFill>
      </fill>
    </dxf>
    <dxf>
      <fill>
        <patternFill patternType="solid">
          <fgColor rgb="FFE4F7CF"/>
          <bgColor rgb="FF000000"/>
        </patternFill>
      </fill>
    </dxf>
    <dxf>
      <fill>
        <patternFill patternType="solid">
          <fgColor rgb="FFE4F7D0"/>
          <bgColor rgb="FF000000"/>
        </patternFill>
      </fill>
    </dxf>
    <dxf>
      <fill>
        <patternFill patternType="solid">
          <fgColor rgb="FFE5BF75"/>
          <bgColor rgb="FF000000"/>
        </patternFill>
      </fill>
    </dxf>
    <dxf>
      <fill>
        <patternFill patternType="solid">
          <fgColor rgb="FFE5F6CC"/>
          <bgColor rgb="FF000000"/>
        </patternFill>
      </fill>
    </dxf>
    <dxf>
      <fill>
        <patternFill patternType="solid">
          <fgColor rgb="FFE5F6CE"/>
          <bgColor rgb="FF000000"/>
        </patternFill>
      </fill>
    </dxf>
    <dxf>
      <fill>
        <patternFill patternType="solid">
          <fgColor rgb="FFE6C076"/>
          <bgColor rgb="FF000000"/>
        </patternFill>
      </fill>
    </dxf>
    <dxf>
      <fill>
        <patternFill patternType="solid">
          <fgColor rgb="FFE6C176"/>
          <bgColor rgb="FF000000"/>
        </patternFill>
      </fill>
    </dxf>
    <dxf>
      <fill>
        <patternFill patternType="solid">
          <fgColor rgb="FFE6C277"/>
          <bgColor rgb="FF000000"/>
        </patternFill>
      </fill>
    </dxf>
    <dxf>
      <fill>
        <patternFill patternType="solid">
          <fgColor rgb="FFE6F5C9"/>
          <bgColor rgb="FF000000"/>
        </patternFill>
      </fill>
    </dxf>
    <dxf>
      <fill>
        <patternFill patternType="solid">
          <fgColor rgb="FFE6F6CA"/>
          <bgColor rgb="FF000000"/>
        </patternFill>
      </fill>
    </dxf>
    <dxf>
      <fill>
        <patternFill patternType="solid">
          <fgColor rgb="FFE7C377"/>
          <bgColor rgb="FF000000"/>
        </patternFill>
      </fill>
    </dxf>
    <dxf>
      <fill>
        <patternFill patternType="solid">
          <fgColor rgb="FFEFEFAF"/>
          <bgColor rgb="FF000000"/>
        </patternFill>
      </fill>
    </dxf>
    <dxf>
      <fill>
        <patternFill patternType="solid">
          <fgColor rgb="FFEFEFB0"/>
          <bgColor rgb="FF000000"/>
        </patternFill>
      </fill>
    </dxf>
    <dxf>
      <fill>
        <patternFill patternType="solid">
          <fgColor rgb="FFEFF0B1"/>
          <bgColor rgb="FF000000"/>
        </patternFill>
      </fill>
    </dxf>
    <dxf>
      <fill>
        <patternFill patternType="solid">
          <fgColor rgb="FFF0EFAD"/>
          <bgColor rgb="FF000000"/>
        </patternFill>
      </fill>
    </dxf>
    <dxf>
      <fill>
        <patternFill patternType="solid">
          <fgColor rgb="FFF0EFAE"/>
          <bgColor rgb="FF000000"/>
        </patternFill>
      </fill>
    </dxf>
    <dxf>
      <fill>
        <patternFill patternType="solid">
          <fgColor rgb="FFF0EFAF"/>
          <bgColor rgb="FF000000"/>
        </patternFill>
      </fill>
    </dxf>
    <dxf>
      <fill>
        <patternFill patternType="solid">
          <fgColor rgb="FFF1EEAC"/>
          <bgColor rgb="FF000000"/>
        </patternFill>
      </fill>
    </dxf>
    <dxf>
      <fill>
        <patternFill patternType="solid">
          <fgColor rgb="FFFBE78E"/>
          <bgColor rgb="FF000000"/>
        </patternFill>
      </fill>
    </dxf>
    <dxf>
      <fill>
        <patternFill patternType="solid">
          <fgColor rgb="FFFCE489"/>
          <bgColor rgb="FF000000"/>
        </patternFill>
      </fill>
    </dxf>
    <dxf>
      <fill>
        <patternFill patternType="solid">
          <fgColor rgb="FFFCE589"/>
          <bgColor rgb="FF000000"/>
        </patternFill>
      </fill>
    </dxf>
    <dxf>
      <fill>
        <patternFill patternType="solid">
          <fgColor rgb="FFFCE78D"/>
          <bgColor rgb="FF000000"/>
        </patternFill>
      </fill>
    </dxf>
    <dxf>
      <fill>
        <patternFill patternType="solid">
          <fgColor rgb="FFFDE58A"/>
          <bgColor rgb="FF000000"/>
        </patternFill>
      </fill>
    </dxf>
    <dxf>
      <fill>
        <patternFill patternType="solid">
          <fgColor rgb="FFFDE68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97132"/>
      <rgbColor rgb="FF666699"/>
      <rgbColor rgb="FF969696"/>
      <rgbColor rgb="FF003366"/>
      <rgbColor rgb="FF339966"/>
      <rgbColor rgb="FF111827"/>
      <rgbColor rgb="FF333300"/>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Number of Works by Tier</a:t>
            </a:r>
          </a:p>
        </c:rich>
      </c:tx>
      <c:overlay val="0"/>
      <c:spPr>
        <a:noFill/>
        <a:ln w="0">
          <a:noFill/>
        </a:ln>
      </c:spPr>
    </c:title>
    <c:autoTitleDeleted val="0"/>
    <c:plotArea>
      <c:barChart>
        <c:barDir val="col"/>
        <c:grouping val="clustered"/>
        <c:varyColors val="0"/>
        <c:ser>
          <c:idx val="0"/>
          <c:order val="0"/>
          <c:tx>
            <c:strRef>
              <c:f>"Category"</c:f>
              <c:strCache>
                <c:ptCount val="1"/>
                <c:pt idx="0">
                  <c:v>Category</c:v>
                </c:pt>
              </c:strCache>
            </c:strRef>
          </c:tx>
          <c:spPr>
            <a:solidFill>
              <a:srgbClr val="156082"/>
            </a:solidFill>
            <a:ln w="1260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Summary!$A$4:$A$13</c:f>
              <c:strCache>
                <c:ptCount val="10"/>
                <c:pt idx="0">
                  <c:v>1</c:v>
                </c:pt>
                <c:pt idx="1">
                  <c:v>2</c:v>
                </c:pt>
                <c:pt idx="2">
                  <c:v>3</c:v>
                </c:pt>
                <c:pt idx="3">
                  <c:v>4</c:v>
                </c:pt>
                <c:pt idx="4">
                  <c:v>5</c:v>
                </c:pt>
                <c:pt idx="5">
                  <c:v>6</c:v>
                </c:pt>
                <c:pt idx="6">
                  <c:v>7</c:v>
                </c:pt>
                <c:pt idx="7">
                  <c:v>8</c:v>
                </c:pt>
                <c:pt idx="8">
                  <c:v>9</c:v>
                </c:pt>
                <c:pt idx="9">
                  <c:v>10</c:v>
                </c:pt>
              </c:strCache>
            </c:strRef>
          </c:cat>
          <c:val>
            <c:numRef>
              <c:f>Summary!$B$4:$B$13</c:f>
              <c:numCache>
                <c:formatCode>General</c:formatCode>
                <c:ptCount val="10"/>
              </c:numCache>
            </c:numRef>
          </c:val>
        </c:ser>
        <c:ser>
          <c:idx val="1"/>
          <c:order val="1"/>
          <c:tx>
            <c:strRef>
              <c:f>"Works"</c:f>
              <c:strCache>
                <c:ptCount val="1"/>
                <c:pt idx="0">
                  <c:v>Works</c:v>
                </c:pt>
              </c:strCache>
            </c:strRef>
          </c:tx>
          <c:spPr>
            <a:solidFill>
              <a:srgbClr val="E97132"/>
            </a:solidFill>
            <a:ln w="1260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Summary!$A$4:$A$13</c:f>
              <c:strCache>
                <c:ptCount val="10"/>
                <c:pt idx="0">
                  <c:v>1</c:v>
                </c:pt>
                <c:pt idx="1">
                  <c:v>2</c:v>
                </c:pt>
                <c:pt idx="2">
                  <c:v>3</c:v>
                </c:pt>
                <c:pt idx="3">
                  <c:v>4</c:v>
                </c:pt>
                <c:pt idx="4">
                  <c:v>5</c:v>
                </c:pt>
                <c:pt idx="5">
                  <c:v>6</c:v>
                </c:pt>
                <c:pt idx="6">
                  <c:v>7</c:v>
                </c:pt>
                <c:pt idx="7">
                  <c:v>8</c:v>
                </c:pt>
                <c:pt idx="8">
                  <c:v>9</c:v>
                </c:pt>
                <c:pt idx="9">
                  <c:v>10</c:v>
                </c:pt>
              </c:strCache>
            </c:strRef>
          </c:cat>
          <c:val>
            <c:numRef>
              <c:f>Summary!$C$4:$C$13</c:f>
              <c:numCache>
                <c:formatCode>General</c:formatCode>
                <c:ptCount val="10"/>
                <c:pt idx="0">
                  <c:v>4</c:v>
                </c:pt>
                <c:pt idx="1">
                  <c:v>19</c:v>
                </c:pt>
                <c:pt idx="2">
                  <c:v>17</c:v>
                </c:pt>
                <c:pt idx="3">
                  <c:v>22</c:v>
                </c:pt>
                <c:pt idx="4">
                  <c:v>9</c:v>
                </c:pt>
                <c:pt idx="5">
                  <c:v>7</c:v>
                </c:pt>
                <c:pt idx="6">
                  <c:v>2</c:v>
                </c:pt>
                <c:pt idx="7">
                  <c:v>5</c:v>
                </c:pt>
                <c:pt idx="8">
                  <c:v>1</c:v>
                </c:pt>
                <c:pt idx="9">
                  <c:v>1</c:v>
                </c:pt>
              </c:numCache>
            </c:numRef>
          </c:val>
        </c:ser>
        <c:gapWidth val="150"/>
        <c:overlap val="0"/>
        <c:axId val="51503892"/>
        <c:axId val="91564592"/>
      </c:barChart>
      <c:catAx>
        <c:axId val="5150389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1564592"/>
        <c:crosses val="autoZero"/>
        <c:auto val="1"/>
        <c:lblAlgn val="ctr"/>
        <c:lblOffset val="100"/>
        <c:noMultiLvlLbl val="0"/>
      </c:catAx>
      <c:valAx>
        <c:axId val="91564592"/>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5150389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12</xdr:col>
      <xdr:colOff>602280</xdr:colOff>
      <xdr:row>19</xdr:row>
      <xdr:rowOff>181440</xdr:rowOff>
    </xdr:to>
    <xdr:graphicFrame>
      <xdr:nvGraphicFramePr>
        <xdr:cNvPr id="1" name="Chart 1"/>
        <xdr:cNvGraphicFramePr/>
      </xdr:nvGraphicFramePr>
      <xdr:xfrm>
        <a:off x="7518960" y="438120"/>
        <a:ext cx="4883040" cy="3420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antasyEvaluationsTable" displayName="FantasyEvaluationsTable" ref="A1:R74" headerRowCount="1" totalsRowCount="0" totalsRowShown="0">
  <tableColumns count="18">
    <tableColumn id="1" name="Tier"/>
    <tableColumn id="2" name="Category"/>
    <tableColumn id="3" name="Work"/>
    <tableColumn id="4" name="Media"/>
    <tableColumn id="5" name="Creator / Studio"/>
    <tableColumn id="6" name="Cozy Fantasy"/>
    <tableColumn id="7" name="Hopepunk"/>
    <tableColumn id="8" name="Structural Despair"/>
    <tableColumn id="9" name="Limited Heroism"/>
    <tableColumn id="10" name="Moral Cynicism"/>
    <tableColumn id="11" name="Structural Corruption"/>
    <tableColumn id="12" name="Redemption Difficulty"/>
    <tableColumn id="13" name="Narrative Acceptance of Injustice"/>
    <tableColumn id="14" name="Explicit Darkness"/>
    <tableColumn id="15" name="Weighted Internal Score"/>
    <tableColumn id="16" name="Calculated Score"/>
    <tableColumn id="17" name="Rounded Tier"/>
    <tableColumn id="18"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58"/>
    <col collapsed="false" customWidth="true" hidden="false" outlineLevel="0" max="4" min="4" style="1" width="38"/>
    <col collapsed="false" customWidth="true" hidden="false" outlineLevel="0" max="5" min="5" style="1" width="14"/>
  </cols>
  <sheetData>
    <row r="1" customFormat="false" ht="19.5" hidden="false" customHeight="true" outlineLevel="0" collapsed="false">
      <c r="A1" s="2" t="s">
        <v>0</v>
      </c>
      <c r="B1" s="2"/>
      <c r="C1" s="2"/>
      <c r="D1" s="2"/>
      <c r="E1" s="2"/>
      <c r="F1" s="2"/>
      <c r="G1" s="2"/>
      <c r="H1" s="2"/>
    </row>
    <row r="2" customFormat="false" ht="15" hidden="false" customHeight="true" outlineLevel="0" collapsed="false">
      <c r="A2" s="3"/>
      <c r="B2" s="3"/>
      <c r="C2" s="3"/>
      <c r="D2" s="3"/>
      <c r="E2" s="3"/>
      <c r="F2" s="3"/>
      <c r="G2" s="3"/>
      <c r="H2" s="3"/>
    </row>
    <row r="3" customFormat="false" ht="15" hidden="false" customHeight="true" outlineLevel="0" collapsed="false">
      <c r="A3" s="4" t="s">
        <v>1</v>
      </c>
      <c r="B3" s="4" t="s">
        <v>2</v>
      </c>
      <c r="C3" s="3"/>
      <c r="D3" s="4" t="s">
        <v>3</v>
      </c>
      <c r="E3" s="4" t="s">
        <v>4</v>
      </c>
      <c r="F3" s="3"/>
      <c r="G3" s="3"/>
      <c r="H3" s="3"/>
    </row>
    <row r="4" customFormat="false" ht="15" hidden="false" customHeight="true" outlineLevel="0" collapsed="false">
      <c r="A4" s="3" t="s">
        <v>5</v>
      </c>
      <c r="B4" s="3" t="s">
        <v>6</v>
      </c>
      <c r="C4" s="3"/>
      <c r="D4" s="3" t="s">
        <v>7</v>
      </c>
      <c r="E4" s="5" t="n">
        <v>0.15</v>
      </c>
      <c r="F4" s="3"/>
      <c r="G4" s="3"/>
      <c r="H4" s="3"/>
    </row>
    <row r="5" customFormat="false" ht="15" hidden="false" customHeight="true" outlineLevel="0" collapsed="false">
      <c r="A5" s="3" t="s">
        <v>7</v>
      </c>
      <c r="B5" s="3" t="s">
        <v>8</v>
      </c>
      <c r="C5" s="3"/>
      <c r="D5" s="3" t="s">
        <v>9</v>
      </c>
      <c r="E5" s="5" t="n">
        <v>0.15</v>
      </c>
      <c r="F5" s="3"/>
      <c r="G5" s="3"/>
      <c r="H5" s="3"/>
    </row>
    <row r="6" customFormat="false" ht="15" hidden="false" customHeight="true" outlineLevel="0" collapsed="false">
      <c r="A6" s="3" t="s">
        <v>9</v>
      </c>
      <c r="B6" s="3" t="s">
        <v>10</v>
      </c>
      <c r="C6" s="3"/>
      <c r="D6" s="3" t="s">
        <v>11</v>
      </c>
      <c r="E6" s="5" t="n">
        <v>0.15</v>
      </c>
      <c r="F6" s="3"/>
      <c r="G6" s="3"/>
      <c r="H6" s="3"/>
    </row>
    <row r="7" customFormat="false" ht="23.25" hidden="false" customHeight="true" outlineLevel="0" collapsed="false">
      <c r="A7" s="3" t="s">
        <v>11</v>
      </c>
      <c r="B7" s="3" t="s">
        <v>12</v>
      </c>
      <c r="C7" s="3"/>
      <c r="D7" s="3" t="s">
        <v>13</v>
      </c>
      <c r="E7" s="5" t="n">
        <v>0.15</v>
      </c>
      <c r="F7" s="3"/>
      <c r="G7" s="3"/>
      <c r="H7" s="3"/>
    </row>
    <row r="8" customFormat="false" ht="15" hidden="false" customHeight="true" outlineLevel="0" collapsed="false">
      <c r="A8" s="3" t="s">
        <v>13</v>
      </c>
      <c r="B8" s="3" t="s">
        <v>14</v>
      </c>
      <c r="C8" s="3"/>
      <c r="D8" s="3" t="s">
        <v>15</v>
      </c>
      <c r="E8" s="5" t="n">
        <v>0.15</v>
      </c>
      <c r="F8" s="3"/>
      <c r="G8" s="3"/>
      <c r="H8" s="3"/>
    </row>
    <row r="9" customFormat="false" ht="15" hidden="false" customHeight="true" outlineLevel="0" collapsed="false">
      <c r="A9" s="3" t="s">
        <v>15</v>
      </c>
      <c r="B9" s="3" t="s">
        <v>16</v>
      </c>
      <c r="C9" s="3"/>
      <c r="D9" s="3" t="s">
        <v>17</v>
      </c>
      <c r="E9" s="5" t="n">
        <v>0.15</v>
      </c>
      <c r="F9" s="3"/>
      <c r="G9" s="3"/>
      <c r="H9" s="3"/>
    </row>
    <row r="10" customFormat="false" ht="23.25" hidden="false" customHeight="true" outlineLevel="0" collapsed="false">
      <c r="A10" s="3" t="s">
        <v>17</v>
      </c>
      <c r="B10" s="3" t="s">
        <v>18</v>
      </c>
      <c r="C10" s="3"/>
      <c r="D10" s="3" t="s">
        <v>19</v>
      </c>
      <c r="E10" s="5" t="n">
        <v>0.1</v>
      </c>
      <c r="F10" s="3"/>
      <c r="G10" s="3"/>
      <c r="H10" s="3"/>
    </row>
    <row r="11" customFormat="false" ht="15" hidden="false" customHeight="true" outlineLevel="0" collapsed="false">
      <c r="A11" s="3" t="s">
        <v>19</v>
      </c>
      <c r="B11" s="3" t="s">
        <v>20</v>
      </c>
      <c r="C11" s="3"/>
      <c r="D11" s="3" t="s">
        <v>21</v>
      </c>
      <c r="E11" s="5" t="n">
        <v>1</v>
      </c>
      <c r="F11" s="3"/>
      <c r="G11" s="3"/>
      <c r="H11" s="3"/>
    </row>
    <row r="12" customFormat="false" ht="15" hidden="false" customHeight="true" outlineLevel="0" collapsed="false">
      <c r="A12" s="3" t="s">
        <v>22</v>
      </c>
      <c r="B12" s="3" t="s">
        <v>23</v>
      </c>
      <c r="C12" s="3"/>
      <c r="D12" s="3"/>
      <c r="E12" s="3"/>
      <c r="F12" s="3"/>
      <c r="G12" s="3"/>
      <c r="H12" s="3"/>
    </row>
    <row r="13" customFormat="false" ht="15" hidden="false" customHeight="true" outlineLevel="0" collapsed="false">
      <c r="A13" s="3"/>
      <c r="B13" s="3"/>
      <c r="C13" s="3"/>
      <c r="D13" s="3"/>
      <c r="E13" s="3"/>
      <c r="F13" s="3"/>
      <c r="G13" s="3"/>
      <c r="H13" s="3"/>
    </row>
    <row r="14" customFormat="false" ht="15" hidden="false" customHeight="true" outlineLevel="0" collapsed="false">
      <c r="A14" s="4" t="s">
        <v>24</v>
      </c>
      <c r="B14" s="4" t="s">
        <v>25</v>
      </c>
      <c r="C14" s="3"/>
      <c r="D14" s="3"/>
      <c r="E14" s="3"/>
      <c r="F14" s="3"/>
      <c r="G14" s="3"/>
      <c r="H14" s="3"/>
    </row>
    <row r="15" customFormat="false" ht="15" hidden="false" customHeight="true" outlineLevel="0" collapsed="false">
      <c r="A15" s="3" t="n">
        <v>1</v>
      </c>
      <c r="B15" s="3" t="s">
        <v>26</v>
      </c>
      <c r="C15" s="3"/>
      <c r="D15" s="3"/>
      <c r="E15" s="3"/>
      <c r="F15" s="3"/>
      <c r="G15" s="3"/>
      <c r="H15" s="3"/>
    </row>
    <row r="16" customFormat="false" ht="15" hidden="false" customHeight="true" outlineLevel="0" collapsed="false">
      <c r="A16" s="3" t="n">
        <v>2</v>
      </c>
      <c r="B16" s="3" t="s">
        <v>27</v>
      </c>
      <c r="C16" s="3"/>
      <c r="D16" s="3"/>
      <c r="E16" s="3"/>
      <c r="F16" s="3"/>
      <c r="G16" s="3"/>
      <c r="H16" s="3"/>
    </row>
    <row r="17" customFormat="false" ht="15" hidden="false" customHeight="true" outlineLevel="0" collapsed="false">
      <c r="A17" s="3" t="n">
        <v>3</v>
      </c>
      <c r="B17" s="3" t="s">
        <v>28</v>
      </c>
      <c r="C17" s="3"/>
      <c r="D17" s="3"/>
      <c r="E17" s="3"/>
      <c r="F17" s="3"/>
      <c r="G17" s="3"/>
      <c r="H17" s="3"/>
    </row>
    <row r="18" customFormat="false" ht="15" hidden="false" customHeight="true" outlineLevel="0" collapsed="false">
      <c r="A18" s="3" t="n">
        <v>4</v>
      </c>
      <c r="B18" s="3" t="s">
        <v>29</v>
      </c>
      <c r="C18" s="3"/>
      <c r="D18" s="3"/>
      <c r="E18" s="3"/>
      <c r="F18" s="3"/>
      <c r="G18" s="3"/>
      <c r="H18" s="3"/>
    </row>
    <row r="19" customFormat="false" ht="15" hidden="false" customHeight="true" outlineLevel="0" collapsed="false">
      <c r="A19" s="3" t="n">
        <v>5</v>
      </c>
      <c r="B19" s="3" t="s">
        <v>30</v>
      </c>
      <c r="C19" s="3"/>
      <c r="D19" s="3"/>
      <c r="E19" s="3"/>
      <c r="F19" s="3"/>
      <c r="G19" s="3"/>
      <c r="H19" s="3"/>
    </row>
    <row r="20" customFormat="false" ht="15" hidden="false" customHeight="true" outlineLevel="0" collapsed="false">
      <c r="A20" s="3" t="n">
        <v>6</v>
      </c>
      <c r="B20" s="3" t="s">
        <v>31</v>
      </c>
      <c r="C20" s="3"/>
      <c r="D20" s="3"/>
      <c r="E20" s="3"/>
      <c r="F20" s="3"/>
      <c r="G20" s="3"/>
      <c r="H20" s="3"/>
    </row>
    <row r="21" customFormat="false" ht="15" hidden="false" customHeight="true" outlineLevel="0" collapsed="false">
      <c r="A21" s="3" t="n">
        <v>7</v>
      </c>
      <c r="B21" s="3" t="s">
        <v>32</v>
      </c>
      <c r="C21" s="3"/>
      <c r="D21" s="3"/>
      <c r="E21" s="3"/>
      <c r="F21" s="3"/>
      <c r="G21" s="3"/>
      <c r="H21" s="3"/>
    </row>
    <row r="22" customFormat="false" ht="15" hidden="false" customHeight="true" outlineLevel="0" collapsed="false">
      <c r="A22" s="3" t="n">
        <v>8</v>
      </c>
      <c r="B22" s="3" t="s">
        <v>33</v>
      </c>
      <c r="C22" s="3"/>
      <c r="D22" s="3"/>
      <c r="E22" s="3"/>
      <c r="F22" s="3"/>
      <c r="G22" s="3"/>
      <c r="H22" s="3"/>
    </row>
    <row r="23" customFormat="false" ht="15" hidden="false" customHeight="true" outlineLevel="0" collapsed="false">
      <c r="A23" s="3" t="n">
        <v>9</v>
      </c>
      <c r="B23" s="3" t="s">
        <v>34</v>
      </c>
      <c r="C23" s="3"/>
      <c r="D23" s="3"/>
      <c r="E23" s="3"/>
      <c r="F23" s="3"/>
      <c r="G23" s="3"/>
      <c r="H23" s="3"/>
    </row>
    <row r="24" customFormat="false" ht="15" hidden="false" customHeight="true" outlineLevel="0" collapsed="false">
      <c r="A24" s="3" t="n">
        <v>10</v>
      </c>
      <c r="B24" s="3" t="s">
        <v>35</v>
      </c>
      <c r="C24" s="3"/>
      <c r="D24" s="3"/>
      <c r="E24" s="3"/>
      <c r="F24" s="3"/>
      <c r="G24" s="3"/>
      <c r="H24" s="3"/>
    </row>
    <row r="26" customFormat="false" ht="15" hidden="false" customHeight="true" outlineLevel="0" collapsed="false">
      <c r="A26" s="1" t="s">
        <v>36</v>
      </c>
      <c r="B26" s="1" t="s">
        <v>37</v>
      </c>
    </row>
    <row r="27" customFormat="false" ht="15" hidden="false" customHeight="true" outlineLevel="0" collapsed="false">
      <c r="A27" s="1" t="s">
        <v>38</v>
      </c>
      <c r="B27" s="1" t="s">
        <v>39</v>
      </c>
    </row>
    <row r="28" customFormat="false" ht="15" hidden="false" customHeight="true" outlineLevel="0" collapsed="false">
      <c r="A28" s="1" t="s">
        <v>40</v>
      </c>
    </row>
    <row r="29" customFormat="false" ht="15" hidden="false" customHeight="true" outlineLevel="0" collapsed="false">
      <c r="A29" s="1" t="s">
        <v>41</v>
      </c>
      <c r="B29" s="1" t="s">
        <v>42</v>
      </c>
    </row>
    <row r="30" customFormat="false" ht="15" hidden="false" customHeight="true" outlineLevel="0" collapsed="false">
      <c r="A30" s="1" t="s">
        <v>43</v>
      </c>
      <c r="B30" s="1" t="s">
        <v>44</v>
      </c>
    </row>
    <row r="31" customFormat="false" ht="15" hidden="false" customHeight="true" outlineLevel="0" collapsed="false">
      <c r="A31" s="1" t="s">
        <v>45</v>
      </c>
      <c r="B31" s="1" t="s">
        <v>46</v>
      </c>
    </row>
    <row r="32" customFormat="false" ht="15" hidden="false" customHeight="true" outlineLevel="0" collapsed="false">
      <c r="A32" s="1" t="s">
        <v>47</v>
      </c>
      <c r="B32" s="1" t="s">
        <v>48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34"/>
    <col collapsed="false" customWidth="true" hidden="false" outlineLevel="0" max="4" min="4" style="1" width="24"/>
    <col collapsed="false" customWidth="true" hidden="false" outlineLevel="0" max="5" min="5" style="1" width="32"/>
    <col collapsed="false" customWidth="true" hidden="false" outlineLevel="0" max="7" min="6" style="1" width="14"/>
    <col collapsed="false" customWidth="true" hidden="false" outlineLevel="0" max="14" min="8" style="1" width="15"/>
    <col collapsed="false" customWidth="true" hidden="false" outlineLevel="0" max="16" min="15" style="1" width="18"/>
    <col collapsed="false" customWidth="true" hidden="false" outlineLevel="0" max="17" min="17" style="1" width="12"/>
    <col collapsed="false" customWidth="true" hidden="false" outlineLevel="0" max="18" min="18" style="1" width="52"/>
  </cols>
  <sheetData>
    <row r="1" customFormat="false" ht="33.75" hidden="false" customHeight="true" outlineLevel="0" collapsed="false">
      <c r="A1" s="6" t="s">
        <v>24</v>
      </c>
      <c r="B1" s="6" t="s">
        <v>25</v>
      </c>
      <c r="C1" s="6" t="s">
        <v>49</v>
      </c>
      <c r="D1" s="6" t="s">
        <v>50</v>
      </c>
      <c r="E1" s="6" t="s">
        <v>51</v>
      </c>
      <c r="F1" s="6" t="s">
        <v>52</v>
      </c>
      <c r="G1" s="6" t="s">
        <v>53</v>
      </c>
      <c r="H1" s="6" t="s">
        <v>7</v>
      </c>
      <c r="I1" s="6" t="s">
        <v>9</v>
      </c>
      <c r="J1" s="6" t="s">
        <v>11</v>
      </c>
      <c r="K1" s="6" t="s">
        <v>13</v>
      </c>
      <c r="L1" s="6" t="s">
        <v>15</v>
      </c>
      <c r="M1" s="6" t="s">
        <v>17</v>
      </c>
      <c r="N1" s="6" t="s">
        <v>19</v>
      </c>
      <c r="O1" s="6" t="s">
        <v>54</v>
      </c>
      <c r="P1" s="6" t="s">
        <v>55</v>
      </c>
      <c r="Q1" s="6" t="s">
        <v>56</v>
      </c>
      <c r="R1" s="6" t="s">
        <v>57</v>
      </c>
    </row>
    <row r="2" customFormat="false" ht="23.25" hidden="false" customHeight="true" outlineLevel="0" collapsed="false">
      <c r="A2" s="7" t="n">
        <v>1</v>
      </c>
      <c r="B2" s="3" t="s">
        <v>26</v>
      </c>
      <c r="C2" s="3" t="s">
        <v>58</v>
      </c>
      <c r="D2" s="3" t="s">
        <v>59</v>
      </c>
      <c r="E2" s="3" t="s">
        <v>60</v>
      </c>
      <c r="F2" s="3" t="s">
        <v>61</v>
      </c>
      <c r="G2" s="3" t="s">
        <v>62</v>
      </c>
      <c r="H2" s="8" t="n">
        <v>0.1</v>
      </c>
      <c r="I2" s="8" t="n">
        <v>0.05</v>
      </c>
      <c r="J2" s="8" t="n">
        <v>0.05</v>
      </c>
      <c r="K2" s="8" t="n">
        <v>0.05</v>
      </c>
      <c r="L2" s="8" t="n">
        <v>0.05</v>
      </c>
      <c r="M2" s="8" t="n">
        <v>0.05</v>
      </c>
      <c r="N2" s="8" t="n">
        <v>0.15</v>
      </c>
      <c r="O2" s="8" t="n">
        <f aca="false">H2*Methodology!$E$4+I2*Methodology!$E$5+J2*Methodology!$E$6+K2*Methodology!$E$7+L2*Methodology!$E$8+M2*Methodology!$E$9+N2*Methodology!$E$10</f>
        <v>0.0675</v>
      </c>
      <c r="P2" s="8" t="n">
        <f aca="false">1+(O2*2.25)</f>
        <v>1.151875</v>
      </c>
      <c r="Q2" s="7" t="n">
        <f aca="false">ROUND(P2,0)</f>
        <v>1</v>
      </c>
      <c r="R2" s="3" t="s">
        <v>63</v>
      </c>
    </row>
    <row r="3" customFormat="false" ht="23.25" hidden="false" customHeight="true" outlineLevel="0" collapsed="false">
      <c r="A3" s="7" t="n">
        <v>1</v>
      </c>
      <c r="B3" s="3" t="s">
        <v>26</v>
      </c>
      <c r="C3" s="3" t="s">
        <v>64</v>
      </c>
      <c r="D3" s="3" t="s">
        <v>59</v>
      </c>
      <c r="E3" s="3" t="s">
        <v>60</v>
      </c>
      <c r="F3" s="3" t="s">
        <v>61</v>
      </c>
      <c r="G3" s="3" t="s">
        <v>62</v>
      </c>
      <c r="H3" s="8" t="n">
        <v>0.2</v>
      </c>
      <c r="I3" s="8" t="n">
        <v>0.05</v>
      </c>
      <c r="J3" s="8" t="n">
        <v>0.05</v>
      </c>
      <c r="K3" s="8" t="n">
        <v>0.05</v>
      </c>
      <c r="L3" s="8" t="n">
        <v>0.05</v>
      </c>
      <c r="M3" s="8" t="n">
        <v>0.05</v>
      </c>
      <c r="N3" s="8" t="n">
        <v>0.15</v>
      </c>
      <c r="O3" s="8" t="n">
        <f aca="false">H3*Methodology!$E$4+I3*Methodology!$E$5+J3*Methodology!$E$6+K3*Methodology!$E$7+L3*Methodology!$E$8+M3*Methodology!$E$9+N3*Methodology!$E$10</f>
        <v>0.0825</v>
      </c>
      <c r="P3" s="8" t="n">
        <f aca="false">1+(O3*2.25)</f>
        <v>1.185625</v>
      </c>
      <c r="Q3" s="7" t="n">
        <f aca="false">ROUND(P3,0)</f>
        <v>1</v>
      </c>
      <c r="R3" s="3" t="s">
        <v>65</v>
      </c>
    </row>
    <row r="4" customFormat="false" ht="23.25" hidden="false" customHeight="true" outlineLevel="0" collapsed="false">
      <c r="A4" s="7" t="n">
        <v>1</v>
      </c>
      <c r="B4" s="3" t="s">
        <v>26</v>
      </c>
      <c r="C4" s="3" t="s">
        <v>66</v>
      </c>
      <c r="D4" s="3" t="s">
        <v>59</v>
      </c>
      <c r="E4" s="3" t="s">
        <v>60</v>
      </c>
      <c r="F4" s="3" t="s">
        <v>61</v>
      </c>
      <c r="G4" s="3" t="s">
        <v>62</v>
      </c>
      <c r="H4" s="8" t="n">
        <v>0.1</v>
      </c>
      <c r="I4" s="8" t="n">
        <v>0.05</v>
      </c>
      <c r="J4" s="8" t="n">
        <v>0.05</v>
      </c>
      <c r="K4" s="8" t="n">
        <v>0.05</v>
      </c>
      <c r="L4" s="8" t="n">
        <v>0.05</v>
      </c>
      <c r="M4" s="8" t="n">
        <v>0.05</v>
      </c>
      <c r="N4" s="8" t="n">
        <v>0.25</v>
      </c>
      <c r="O4" s="8" t="n">
        <f aca="false">H4*Methodology!$E$4+I4*Methodology!$E$5+J4*Methodology!$E$6+K4*Methodology!$E$7+L4*Methodology!$E$8+M4*Methodology!$E$9+N4*Methodology!$E$10</f>
        <v>0.0775</v>
      </c>
      <c r="P4" s="8" t="n">
        <f aca="false">1+(O4*2.25)</f>
        <v>1.174375</v>
      </c>
      <c r="Q4" s="7" t="n">
        <f aca="false">ROUND(P4,0)</f>
        <v>1</v>
      </c>
      <c r="R4" s="3" t="s">
        <v>67</v>
      </c>
    </row>
    <row r="5" customFormat="false" ht="23.25" hidden="false" customHeight="true" outlineLevel="0" collapsed="false">
      <c r="A5" s="7" t="n">
        <v>1</v>
      </c>
      <c r="B5" s="3" t="s">
        <v>26</v>
      </c>
      <c r="C5" s="3" t="s">
        <v>68</v>
      </c>
      <c r="D5" s="3" t="s">
        <v>69</v>
      </c>
      <c r="E5" s="3" t="s">
        <v>70</v>
      </c>
      <c r="F5" s="3" t="s">
        <v>62</v>
      </c>
      <c r="G5" s="3" t="s">
        <v>62</v>
      </c>
      <c r="H5" s="8" t="n">
        <v>0.1</v>
      </c>
      <c r="I5" s="8" t="n">
        <v>0.05</v>
      </c>
      <c r="J5" s="8" t="n">
        <v>0.05</v>
      </c>
      <c r="K5" s="8" t="n">
        <v>0</v>
      </c>
      <c r="L5" s="8" t="n">
        <v>0.05</v>
      </c>
      <c r="M5" s="8" t="n">
        <v>0.05</v>
      </c>
      <c r="N5" s="8" t="n">
        <v>0.1</v>
      </c>
      <c r="O5" s="8" t="n">
        <f aca="false">H5*Methodology!$E$4+I5*Methodology!$E$5+J5*Methodology!$E$6+K5*Methodology!$E$7+L5*Methodology!$E$8+M5*Methodology!$E$9+N5*Methodology!$E$10</f>
        <v>0.055</v>
      </c>
      <c r="P5" s="8" t="n">
        <f aca="false">1+(O5*2.25)</f>
        <v>1.12375</v>
      </c>
      <c r="Q5" s="7" t="n">
        <f aca="false">ROUND(P5,0)</f>
        <v>1</v>
      </c>
      <c r="R5" s="3" t="s">
        <v>71</v>
      </c>
    </row>
    <row r="6" customFormat="false" ht="23.25" hidden="false" customHeight="true" outlineLevel="0" collapsed="false">
      <c r="A6" s="7" t="n">
        <v>2</v>
      </c>
      <c r="B6" s="3" t="s">
        <v>27</v>
      </c>
      <c r="C6" s="3" t="s">
        <v>72</v>
      </c>
      <c r="D6" s="3" t="s">
        <v>69</v>
      </c>
      <c r="E6" s="3" t="s">
        <v>73</v>
      </c>
      <c r="F6" s="3" t="s">
        <v>61</v>
      </c>
      <c r="G6" s="3" t="s">
        <v>62</v>
      </c>
      <c r="H6" s="8" t="n">
        <v>0.45</v>
      </c>
      <c r="I6" s="8" t="n">
        <v>0.3</v>
      </c>
      <c r="J6" s="8" t="n">
        <v>0.3</v>
      </c>
      <c r="K6" s="8" t="n">
        <v>0.6</v>
      </c>
      <c r="L6" s="8" t="n">
        <v>0.25</v>
      </c>
      <c r="M6" s="8" t="n">
        <v>0.4</v>
      </c>
      <c r="N6" s="8" t="n">
        <v>0.55</v>
      </c>
      <c r="O6" s="8" t="n">
        <f aca="false">H6*Methodology!$E$4+I6*Methodology!$E$5+J6*Methodology!$E$6+K6*Methodology!$E$7+L6*Methodology!$E$8+M6*Methodology!$E$9+N6*Methodology!$E$10</f>
        <v>0.4</v>
      </c>
      <c r="P6" s="8" t="n">
        <f aca="false">1+(O6*2.25)</f>
        <v>1.9</v>
      </c>
      <c r="Q6" s="7" t="n">
        <f aca="false">ROUND(P6,0)</f>
        <v>2</v>
      </c>
      <c r="R6" s="3" t="s">
        <v>74</v>
      </c>
    </row>
    <row r="7" customFormat="false" ht="23.25" hidden="false" customHeight="true" outlineLevel="0" collapsed="false">
      <c r="A7" s="7" t="n">
        <v>2</v>
      </c>
      <c r="B7" s="3" t="s">
        <v>27</v>
      </c>
      <c r="C7" s="3" t="s">
        <v>75</v>
      </c>
      <c r="D7" s="3" t="s">
        <v>69</v>
      </c>
      <c r="E7" s="3" t="s">
        <v>76</v>
      </c>
      <c r="F7" s="3" t="s">
        <v>61</v>
      </c>
      <c r="G7" s="3" t="s">
        <v>62</v>
      </c>
      <c r="H7" s="8" t="n">
        <v>0.45</v>
      </c>
      <c r="I7" s="8" t="n">
        <v>0.4</v>
      </c>
      <c r="J7" s="8" t="n">
        <v>0.55</v>
      </c>
      <c r="K7" s="8" t="n">
        <v>0.65</v>
      </c>
      <c r="L7" s="8" t="n">
        <v>0.25</v>
      </c>
      <c r="M7" s="8" t="n">
        <v>0.25</v>
      </c>
      <c r="N7" s="8" t="n">
        <v>0.55</v>
      </c>
      <c r="O7" s="8" t="n">
        <f aca="false">H7*Methodology!$E$4+I7*Methodology!$E$5+J7*Methodology!$E$6+K7*Methodology!$E$7+L7*Methodology!$E$8+M7*Methodology!$E$9+N7*Methodology!$E$10</f>
        <v>0.4375</v>
      </c>
      <c r="P7" s="8" t="n">
        <f aca="false">1+(O7*2.25)</f>
        <v>1.984375</v>
      </c>
      <c r="Q7" s="7" t="n">
        <f aca="false">ROUND(P7,0)</f>
        <v>2</v>
      </c>
      <c r="R7" s="3" t="s">
        <v>77</v>
      </c>
    </row>
    <row r="8" customFormat="false" ht="23.25" hidden="false" customHeight="true" outlineLevel="0" collapsed="false">
      <c r="A8" s="7" t="n">
        <v>2</v>
      </c>
      <c r="B8" s="3" t="s">
        <v>27</v>
      </c>
      <c r="C8" s="3" t="s">
        <v>78</v>
      </c>
      <c r="D8" s="3" t="s">
        <v>69</v>
      </c>
      <c r="E8" s="3" t="s">
        <v>76</v>
      </c>
      <c r="F8" s="3" t="s">
        <v>61</v>
      </c>
      <c r="G8" s="3" t="s">
        <v>62</v>
      </c>
      <c r="H8" s="8" t="n">
        <v>0.45</v>
      </c>
      <c r="I8" s="8" t="n">
        <v>0.3</v>
      </c>
      <c r="J8" s="8" t="n">
        <v>0.5</v>
      </c>
      <c r="K8" s="8" t="n">
        <v>0.6</v>
      </c>
      <c r="L8" s="8" t="n">
        <v>0.35</v>
      </c>
      <c r="M8" s="8" t="n">
        <v>0.25</v>
      </c>
      <c r="N8" s="8" t="n">
        <v>0.55</v>
      </c>
      <c r="O8" s="8" t="n">
        <f aca="false">H8*Methodology!$E$4+I8*Methodology!$E$5+J8*Methodology!$E$6+K8*Methodology!$E$7+L8*Methodology!$E$8+M8*Methodology!$E$9+N8*Methodology!$E$10</f>
        <v>0.4225</v>
      </c>
      <c r="P8" s="8" t="n">
        <f aca="false">1+(O8*2.25)</f>
        <v>1.950625</v>
      </c>
      <c r="Q8" s="7" t="n">
        <f aca="false">ROUND(P8,0)</f>
        <v>2</v>
      </c>
      <c r="R8" s="3" t="s">
        <v>79</v>
      </c>
    </row>
    <row r="9" customFormat="false" ht="23.25" hidden="false" customHeight="true" outlineLevel="0" collapsed="false">
      <c r="A9" s="7" t="n">
        <v>2</v>
      </c>
      <c r="B9" s="3" t="s">
        <v>27</v>
      </c>
      <c r="C9" s="3" t="s">
        <v>80</v>
      </c>
      <c r="D9" s="3" t="s">
        <v>81</v>
      </c>
      <c r="E9" s="3" t="s">
        <v>82</v>
      </c>
      <c r="F9" s="3" t="s">
        <v>61</v>
      </c>
      <c r="G9" s="3" t="s">
        <v>61</v>
      </c>
      <c r="H9" s="8" t="n">
        <v>0.45</v>
      </c>
      <c r="I9" s="8" t="n">
        <v>0.3</v>
      </c>
      <c r="J9" s="8" t="n">
        <v>0.3</v>
      </c>
      <c r="K9" s="8" t="n">
        <v>0.4</v>
      </c>
      <c r="L9" s="8" t="n">
        <v>0.25</v>
      </c>
      <c r="M9" s="8" t="n">
        <v>0.25</v>
      </c>
      <c r="N9" s="8" t="n">
        <v>0.7</v>
      </c>
      <c r="O9" s="8" t="n">
        <f aca="false">H9*Methodology!$E$4+I9*Methodology!$E$5+J9*Methodology!$E$6+K9*Methodology!$E$7+L9*Methodology!$E$8+M9*Methodology!$E$9+N9*Methodology!$E$10</f>
        <v>0.3625</v>
      </c>
      <c r="P9" s="8" t="n">
        <f aca="false">1+(O9*2.25)</f>
        <v>1.815625</v>
      </c>
      <c r="Q9" s="7" t="n">
        <f aca="false">ROUND(P9,0)</f>
        <v>2</v>
      </c>
      <c r="R9" s="3" t="s">
        <v>83</v>
      </c>
    </row>
    <row r="10" customFormat="false" ht="23.25" hidden="false" customHeight="true" outlineLevel="0" collapsed="false">
      <c r="A10" s="7" t="n">
        <v>2</v>
      </c>
      <c r="B10" s="3" t="s">
        <v>27</v>
      </c>
      <c r="C10" s="3" t="s">
        <v>84</v>
      </c>
      <c r="D10" s="3" t="s">
        <v>59</v>
      </c>
      <c r="E10" s="3" t="s">
        <v>85</v>
      </c>
      <c r="F10" s="3" t="s">
        <v>61</v>
      </c>
      <c r="G10" s="3" t="s">
        <v>61</v>
      </c>
      <c r="H10" s="8" t="n">
        <v>0.45</v>
      </c>
      <c r="I10" s="8" t="n">
        <v>0.3</v>
      </c>
      <c r="J10" s="8" t="n">
        <v>0.4</v>
      </c>
      <c r="K10" s="8" t="n">
        <v>0.4</v>
      </c>
      <c r="L10" s="8" t="n">
        <v>0.25</v>
      </c>
      <c r="M10" s="8" t="n">
        <v>0.25</v>
      </c>
      <c r="N10" s="8" t="n">
        <v>0.55</v>
      </c>
      <c r="O10" s="8" t="n">
        <f aca="false">H10*Methodology!$E$4+I10*Methodology!$E$5+J10*Methodology!$E$6+K10*Methodology!$E$7+L10*Methodology!$E$8+M10*Methodology!$E$9+N10*Methodology!$E$10</f>
        <v>0.3625</v>
      </c>
      <c r="P10" s="8" t="n">
        <f aca="false">1+(O10*2.25)</f>
        <v>1.815625</v>
      </c>
      <c r="Q10" s="7" t="n">
        <f aca="false">ROUND(P10,0)</f>
        <v>2</v>
      </c>
      <c r="R10" s="3" t="s">
        <v>86</v>
      </c>
    </row>
    <row r="11" customFormat="false" ht="23.25" hidden="false" customHeight="true" outlineLevel="0" collapsed="false">
      <c r="A11" s="7" t="n">
        <v>2</v>
      </c>
      <c r="B11" s="3" t="s">
        <v>27</v>
      </c>
      <c r="C11" s="3" t="s">
        <v>87</v>
      </c>
      <c r="D11" s="3" t="s">
        <v>88</v>
      </c>
      <c r="E11" s="3" t="s">
        <v>89</v>
      </c>
      <c r="F11" s="3" t="s">
        <v>61</v>
      </c>
      <c r="G11" s="3" t="s">
        <v>61</v>
      </c>
      <c r="H11" s="8" t="n">
        <v>0.45</v>
      </c>
      <c r="I11" s="8" t="n">
        <v>0.3</v>
      </c>
      <c r="J11" s="8" t="n">
        <v>0.3</v>
      </c>
      <c r="K11" s="8" t="n">
        <v>0.4</v>
      </c>
      <c r="L11" s="8" t="n">
        <v>0.25</v>
      </c>
      <c r="M11" s="8" t="n">
        <v>0.25</v>
      </c>
      <c r="N11" s="8" t="n">
        <v>0.55</v>
      </c>
      <c r="O11" s="8" t="n">
        <f aca="false">H11*Methodology!$E$4+I11*Methodology!$E$5+J11*Methodology!$E$6+K11*Methodology!$E$7+L11*Methodology!$E$8+M11*Methodology!$E$9+N11*Methodology!$E$10</f>
        <v>0.3475</v>
      </c>
      <c r="P11" s="8" t="n">
        <f aca="false">1+(O11*2.25)</f>
        <v>1.781875</v>
      </c>
      <c r="Q11" s="7" t="n">
        <f aca="false">ROUND(P11,0)</f>
        <v>2</v>
      </c>
      <c r="R11" s="3" t="s">
        <v>90</v>
      </c>
    </row>
    <row r="12" customFormat="false" ht="23.25" hidden="false" customHeight="true" outlineLevel="0" collapsed="false">
      <c r="A12" s="7" t="n">
        <v>2</v>
      </c>
      <c r="B12" s="3" t="s">
        <v>27</v>
      </c>
      <c r="C12" s="3" t="s">
        <v>91</v>
      </c>
      <c r="D12" s="3" t="s">
        <v>88</v>
      </c>
      <c r="E12" s="3" t="s">
        <v>89</v>
      </c>
      <c r="F12" s="3" t="s">
        <v>61</v>
      </c>
      <c r="G12" s="3" t="s">
        <v>61</v>
      </c>
      <c r="H12" s="8" t="n">
        <v>0.45</v>
      </c>
      <c r="I12" s="8" t="n">
        <v>0.3</v>
      </c>
      <c r="J12" s="8" t="n">
        <v>0.3</v>
      </c>
      <c r="K12" s="8" t="n">
        <v>0.5</v>
      </c>
      <c r="L12" s="8" t="n">
        <v>0.25</v>
      </c>
      <c r="M12" s="8" t="n">
        <v>0.25</v>
      </c>
      <c r="N12" s="8" t="n">
        <v>0.75</v>
      </c>
      <c r="O12" s="8" t="n">
        <f aca="false">H12*Methodology!$E$4+I12*Methodology!$E$5+J12*Methodology!$E$6+K12*Methodology!$E$7+L12*Methodology!$E$8+M12*Methodology!$E$9+N12*Methodology!$E$10</f>
        <v>0.3825</v>
      </c>
      <c r="P12" s="8" t="n">
        <f aca="false">1+(O12*2.25)</f>
        <v>1.860625</v>
      </c>
      <c r="Q12" s="7" t="n">
        <f aca="false">ROUND(P12,0)</f>
        <v>2</v>
      </c>
      <c r="R12" s="3" t="s">
        <v>92</v>
      </c>
    </row>
    <row r="13" customFormat="false" ht="23.25" hidden="false" customHeight="true" outlineLevel="0" collapsed="false">
      <c r="A13" s="7" t="n">
        <v>2</v>
      </c>
      <c r="B13" s="3" t="s">
        <v>27</v>
      </c>
      <c r="C13" s="3" t="s">
        <v>93</v>
      </c>
      <c r="D13" s="3" t="s">
        <v>94</v>
      </c>
      <c r="E13" s="3" t="s">
        <v>95</v>
      </c>
      <c r="F13" s="3" t="s">
        <v>61</v>
      </c>
      <c r="G13" s="3" t="s">
        <v>61</v>
      </c>
      <c r="H13" s="8" t="n">
        <v>0.45</v>
      </c>
      <c r="I13" s="8" t="n">
        <v>0.3</v>
      </c>
      <c r="J13" s="8" t="n">
        <v>0.4</v>
      </c>
      <c r="K13" s="8" t="n">
        <v>0.4</v>
      </c>
      <c r="L13" s="8" t="n">
        <v>0.25</v>
      </c>
      <c r="M13" s="8" t="n">
        <v>0.25</v>
      </c>
      <c r="N13" s="8" t="n">
        <v>0.65</v>
      </c>
      <c r="O13" s="8" t="n">
        <f aca="false">H13*Methodology!$E$4+I13*Methodology!$E$5+J13*Methodology!$E$6+K13*Methodology!$E$7+L13*Methodology!$E$8+M13*Methodology!$E$9+N13*Methodology!$E$10</f>
        <v>0.3725</v>
      </c>
      <c r="P13" s="8" t="n">
        <f aca="false">1+(O13*2.25)</f>
        <v>1.838125</v>
      </c>
      <c r="Q13" s="7" t="n">
        <f aca="false">ROUND(P13,0)</f>
        <v>2</v>
      </c>
      <c r="R13" s="3" t="s">
        <v>96</v>
      </c>
    </row>
    <row r="14" customFormat="false" ht="23.25" hidden="false" customHeight="true" outlineLevel="0" collapsed="false">
      <c r="A14" s="7" t="n">
        <v>2</v>
      </c>
      <c r="B14" s="3" t="s">
        <v>27</v>
      </c>
      <c r="C14" s="3" t="s">
        <v>97</v>
      </c>
      <c r="D14" s="3" t="s">
        <v>59</v>
      </c>
      <c r="E14" s="3" t="s">
        <v>60</v>
      </c>
      <c r="F14" s="3" t="s">
        <v>61</v>
      </c>
      <c r="G14" s="3" t="s">
        <v>61</v>
      </c>
      <c r="H14" s="8" t="n">
        <v>0.45</v>
      </c>
      <c r="I14" s="8" t="n">
        <v>0.3</v>
      </c>
      <c r="J14" s="8" t="n">
        <v>0.3</v>
      </c>
      <c r="K14" s="8" t="n">
        <v>0.55</v>
      </c>
      <c r="L14" s="8" t="n">
        <v>0.25</v>
      </c>
      <c r="M14" s="8" t="n">
        <v>0.25</v>
      </c>
      <c r="N14" s="8" t="n">
        <v>0.65</v>
      </c>
      <c r="O14" s="8" t="n">
        <f aca="false">H14*Methodology!$E$4+I14*Methodology!$E$5+J14*Methodology!$E$6+K14*Methodology!$E$7+L14*Methodology!$E$8+M14*Methodology!$E$9+N14*Methodology!$E$10</f>
        <v>0.38</v>
      </c>
      <c r="P14" s="8" t="n">
        <f aca="false">1+(O14*2.25)</f>
        <v>1.855</v>
      </c>
      <c r="Q14" s="7" t="n">
        <f aca="false">ROUND(P14,0)</f>
        <v>2</v>
      </c>
      <c r="R14" s="3" t="s">
        <v>98</v>
      </c>
    </row>
    <row r="15" customFormat="false" ht="23.25" hidden="false" customHeight="true" outlineLevel="0" collapsed="false">
      <c r="A15" s="7" t="n">
        <v>2</v>
      </c>
      <c r="B15" s="3" t="s">
        <v>27</v>
      </c>
      <c r="C15" s="3" t="s">
        <v>99</v>
      </c>
      <c r="D15" s="3" t="s">
        <v>59</v>
      </c>
      <c r="E15" s="3" t="s">
        <v>60</v>
      </c>
      <c r="F15" s="3" t="s">
        <v>61</v>
      </c>
      <c r="G15" s="3" t="s">
        <v>61</v>
      </c>
      <c r="H15" s="8" t="n">
        <v>0.45</v>
      </c>
      <c r="I15" s="8" t="n">
        <v>0.3</v>
      </c>
      <c r="J15" s="8" t="n">
        <v>0.4</v>
      </c>
      <c r="K15" s="8" t="n">
        <v>0.4</v>
      </c>
      <c r="L15" s="8" t="n">
        <v>0.25</v>
      </c>
      <c r="M15" s="8" t="n">
        <v>0.25</v>
      </c>
      <c r="N15" s="8" t="n">
        <v>0.65</v>
      </c>
      <c r="O15" s="8" t="n">
        <f aca="false">H15*Methodology!$E$4+I15*Methodology!$E$5+J15*Methodology!$E$6+K15*Methodology!$E$7+L15*Methodology!$E$8+M15*Methodology!$E$9+N15*Methodology!$E$10</f>
        <v>0.3725</v>
      </c>
      <c r="P15" s="8" t="n">
        <f aca="false">1+(O15*2.25)</f>
        <v>1.838125</v>
      </c>
      <c r="Q15" s="7" t="n">
        <f aca="false">ROUND(P15,0)</f>
        <v>2</v>
      </c>
      <c r="R15" s="3" t="s">
        <v>100</v>
      </c>
    </row>
    <row r="16" customFormat="false" ht="23.25" hidden="false" customHeight="true" outlineLevel="0" collapsed="false">
      <c r="A16" s="7" t="n">
        <v>2</v>
      </c>
      <c r="B16" s="3" t="s">
        <v>27</v>
      </c>
      <c r="C16" s="3" t="s">
        <v>101</v>
      </c>
      <c r="D16" s="3" t="s">
        <v>102</v>
      </c>
      <c r="E16" s="3" t="s">
        <v>103</v>
      </c>
      <c r="F16" s="3" t="s">
        <v>61</v>
      </c>
      <c r="G16" s="3" t="s">
        <v>61</v>
      </c>
      <c r="H16" s="8" t="n">
        <v>0.45</v>
      </c>
      <c r="I16" s="8" t="n">
        <v>0.3</v>
      </c>
      <c r="J16" s="8" t="n">
        <v>0.3</v>
      </c>
      <c r="K16" s="8" t="n">
        <v>0.4</v>
      </c>
      <c r="L16" s="8" t="n">
        <v>0.25</v>
      </c>
      <c r="M16" s="8" t="n">
        <v>0.25</v>
      </c>
      <c r="N16" s="8" t="n">
        <v>0.65</v>
      </c>
      <c r="O16" s="8" t="n">
        <f aca="false">H16*Methodology!$E$4+I16*Methodology!$E$5+J16*Methodology!$E$6+K16*Methodology!$E$7+L16*Methodology!$E$8+M16*Methodology!$E$9+N16*Methodology!$E$10</f>
        <v>0.3575</v>
      </c>
      <c r="P16" s="8" t="n">
        <f aca="false">1+(O16*2.25)</f>
        <v>1.804375</v>
      </c>
      <c r="Q16" s="7" t="n">
        <f aca="false">ROUND(P16,0)</f>
        <v>2</v>
      </c>
      <c r="R16" s="3" t="s">
        <v>104</v>
      </c>
    </row>
    <row r="17" customFormat="false" ht="23.25" hidden="false" customHeight="true" outlineLevel="0" collapsed="false">
      <c r="A17" s="7" t="n">
        <v>2</v>
      </c>
      <c r="B17" s="3" t="s">
        <v>27</v>
      </c>
      <c r="C17" s="3" t="s">
        <v>105</v>
      </c>
      <c r="D17" s="3" t="s">
        <v>106</v>
      </c>
      <c r="E17" s="3" t="s">
        <v>107</v>
      </c>
      <c r="F17" s="3" t="s">
        <v>61</v>
      </c>
      <c r="G17" s="3" t="s">
        <v>61</v>
      </c>
      <c r="H17" s="8" t="n">
        <v>0.45</v>
      </c>
      <c r="I17" s="8" t="n">
        <v>0.3</v>
      </c>
      <c r="J17" s="8" t="n">
        <v>0.45</v>
      </c>
      <c r="K17" s="8" t="n">
        <v>0.4</v>
      </c>
      <c r="L17" s="8" t="n">
        <v>0.25</v>
      </c>
      <c r="M17" s="8" t="n">
        <v>0.25</v>
      </c>
      <c r="N17" s="8" t="n">
        <v>0.65</v>
      </c>
      <c r="O17" s="8" t="n">
        <f aca="false">H17*Methodology!$E$4+I17*Methodology!$E$5+J17*Methodology!$E$6+K17*Methodology!$E$7+L17*Methodology!$E$8+M17*Methodology!$E$9+N17*Methodology!$E$10</f>
        <v>0.38</v>
      </c>
      <c r="P17" s="8" t="n">
        <f aca="false">1+(O17*2.25)</f>
        <v>1.855</v>
      </c>
      <c r="Q17" s="7" t="n">
        <f aca="false">ROUND(P17,0)</f>
        <v>2</v>
      </c>
      <c r="R17" s="3" t="s">
        <v>108</v>
      </c>
    </row>
    <row r="18" customFormat="false" ht="23.25" hidden="false" customHeight="true" outlineLevel="0" collapsed="false">
      <c r="A18" s="7" t="n">
        <v>2</v>
      </c>
      <c r="B18" s="3" t="s">
        <v>27</v>
      </c>
      <c r="C18" s="3" t="s">
        <v>109</v>
      </c>
      <c r="D18" s="3" t="s">
        <v>102</v>
      </c>
      <c r="E18" s="3" t="s">
        <v>110</v>
      </c>
      <c r="F18" s="3" t="s">
        <v>61</v>
      </c>
      <c r="G18" s="3" t="s">
        <v>61</v>
      </c>
      <c r="H18" s="8" t="n">
        <v>0.45</v>
      </c>
      <c r="I18" s="8" t="n">
        <v>0.3</v>
      </c>
      <c r="J18" s="8" t="n">
        <v>0.3</v>
      </c>
      <c r="K18" s="8" t="n">
        <v>0.4</v>
      </c>
      <c r="L18" s="8" t="n">
        <v>0.25</v>
      </c>
      <c r="M18" s="8" t="n">
        <v>0.25</v>
      </c>
      <c r="N18" s="8" t="n">
        <v>0.7</v>
      </c>
      <c r="O18" s="8" t="n">
        <f aca="false">H18*Methodology!$E$4+I18*Methodology!$E$5+J18*Methodology!$E$6+K18*Methodology!$E$7+L18*Methodology!$E$8+M18*Methodology!$E$9+N18*Methodology!$E$10</f>
        <v>0.3625</v>
      </c>
      <c r="P18" s="8" t="n">
        <f aca="false">1+(O18*2.25)</f>
        <v>1.815625</v>
      </c>
      <c r="Q18" s="7" t="n">
        <f aca="false">ROUND(P18,0)</f>
        <v>2</v>
      </c>
      <c r="R18" s="3" t="s">
        <v>111</v>
      </c>
    </row>
    <row r="19" customFormat="false" ht="23.25" hidden="false" customHeight="true" outlineLevel="0" collapsed="false">
      <c r="A19" s="7" t="n">
        <v>3</v>
      </c>
      <c r="B19" s="3" t="s">
        <v>28</v>
      </c>
      <c r="C19" s="3" t="s">
        <v>112</v>
      </c>
      <c r="D19" s="3" t="s">
        <v>113</v>
      </c>
      <c r="E19" s="3" t="s">
        <v>114</v>
      </c>
      <c r="F19" s="3" t="s">
        <v>61</v>
      </c>
      <c r="G19" s="3" t="s">
        <v>62</v>
      </c>
      <c r="H19" s="8" t="n">
        <v>0.85</v>
      </c>
      <c r="I19" s="8" t="n">
        <v>0.75</v>
      </c>
      <c r="J19" s="8" t="n">
        <v>0.65</v>
      </c>
      <c r="K19" s="8" t="n">
        <v>1.05</v>
      </c>
      <c r="L19" s="8" t="n">
        <v>0.5</v>
      </c>
      <c r="M19" s="8" t="n">
        <v>0.6</v>
      </c>
      <c r="N19" s="8" t="n">
        <v>1</v>
      </c>
      <c r="O19" s="8" t="n">
        <f aca="false">H19*Methodology!$E$4+I19*Methodology!$E$5+J19*Methodology!$E$6+K19*Methodology!$E$7+L19*Methodology!$E$8+M19*Methodology!$E$9+N19*Methodology!$E$10</f>
        <v>0.76</v>
      </c>
      <c r="P19" s="8" t="n">
        <f aca="false">1+(O19*2.25)</f>
        <v>2.71</v>
      </c>
      <c r="Q19" s="7" t="n">
        <f aca="false">ROUND(P19,0)</f>
        <v>3</v>
      </c>
      <c r="R19" s="3" t="s">
        <v>115</v>
      </c>
    </row>
    <row r="20" customFormat="false" ht="23.25" hidden="false" customHeight="true" outlineLevel="0" collapsed="false">
      <c r="A20" s="7" t="n">
        <v>3</v>
      </c>
      <c r="B20" s="3" t="s">
        <v>28</v>
      </c>
      <c r="C20" s="3" t="s">
        <v>116</v>
      </c>
      <c r="D20" s="3" t="s">
        <v>117</v>
      </c>
      <c r="E20" s="3" t="s">
        <v>118</v>
      </c>
      <c r="F20" s="3" t="s">
        <v>61</v>
      </c>
      <c r="G20" s="3" t="s">
        <v>61</v>
      </c>
      <c r="H20" s="8" t="n">
        <v>0.85</v>
      </c>
      <c r="I20" s="8" t="n">
        <v>0.75</v>
      </c>
      <c r="J20" s="8" t="n">
        <v>0.65</v>
      </c>
      <c r="K20" s="8" t="n">
        <v>1</v>
      </c>
      <c r="L20" s="8" t="n">
        <v>0.6</v>
      </c>
      <c r="M20" s="8" t="n">
        <v>0.6</v>
      </c>
      <c r="N20" s="8" t="n">
        <v>1</v>
      </c>
      <c r="O20" s="8" t="n">
        <f aca="false">H20*Methodology!$E$4+I20*Methodology!$E$5+J20*Methodology!$E$6+K20*Methodology!$E$7+L20*Methodology!$E$8+M20*Methodology!$E$9+N20*Methodology!$E$10</f>
        <v>0.7675</v>
      </c>
      <c r="P20" s="8" t="n">
        <f aca="false">1+(O20*2.25)</f>
        <v>2.726875</v>
      </c>
      <c r="Q20" s="7" t="n">
        <f aca="false">ROUND(P20,0)</f>
        <v>3</v>
      </c>
      <c r="R20" s="3" t="s">
        <v>119</v>
      </c>
    </row>
    <row r="21" customFormat="false" ht="23.25" hidden="false" customHeight="true" outlineLevel="0" collapsed="false">
      <c r="A21" s="7" t="n">
        <v>3</v>
      </c>
      <c r="B21" s="3" t="s">
        <v>28</v>
      </c>
      <c r="C21" s="3" t="s">
        <v>120</v>
      </c>
      <c r="D21" s="3" t="s">
        <v>121</v>
      </c>
      <c r="E21" s="3" t="s">
        <v>122</v>
      </c>
      <c r="F21" s="3" t="s">
        <v>61</v>
      </c>
      <c r="G21" s="3" t="s">
        <v>61</v>
      </c>
      <c r="H21" s="8" t="n">
        <v>0.85</v>
      </c>
      <c r="I21" s="8" t="n">
        <v>0.75</v>
      </c>
      <c r="J21" s="8" t="n">
        <v>0.65</v>
      </c>
      <c r="K21" s="8" t="n">
        <v>0.85</v>
      </c>
      <c r="L21" s="8" t="n">
        <v>0.6</v>
      </c>
      <c r="M21" s="8" t="n">
        <v>0.6</v>
      </c>
      <c r="N21" s="8" t="n">
        <v>1.15</v>
      </c>
      <c r="O21" s="8" t="n">
        <f aca="false">H21*Methodology!$E$4+I21*Methodology!$E$5+J21*Methodology!$E$6+K21*Methodology!$E$7+L21*Methodology!$E$8+M21*Methodology!$E$9+N21*Methodology!$E$10</f>
        <v>0.76</v>
      </c>
      <c r="P21" s="8" t="n">
        <f aca="false">1+(O21*2.25)</f>
        <v>2.71</v>
      </c>
      <c r="Q21" s="7" t="n">
        <f aca="false">ROUND(P21,0)</f>
        <v>3</v>
      </c>
      <c r="R21" s="3" t="s">
        <v>123</v>
      </c>
    </row>
    <row r="22" customFormat="false" ht="23.25" hidden="false" customHeight="true" outlineLevel="0" collapsed="false">
      <c r="A22" s="7" t="n">
        <v>3</v>
      </c>
      <c r="B22" s="3" t="s">
        <v>28</v>
      </c>
      <c r="C22" s="3" t="s">
        <v>124</v>
      </c>
      <c r="D22" s="3" t="s">
        <v>125</v>
      </c>
      <c r="E22" s="3" t="s">
        <v>126</v>
      </c>
      <c r="F22" s="3" t="s">
        <v>61</v>
      </c>
      <c r="G22" s="3" t="s">
        <v>61</v>
      </c>
      <c r="H22" s="8" t="n">
        <v>0.85</v>
      </c>
      <c r="I22" s="8" t="n">
        <v>0.75</v>
      </c>
      <c r="J22" s="8" t="n">
        <v>0.75</v>
      </c>
      <c r="K22" s="8" t="n">
        <v>0.85</v>
      </c>
      <c r="L22" s="8" t="n">
        <v>0.6</v>
      </c>
      <c r="M22" s="8" t="n">
        <v>0.6</v>
      </c>
      <c r="N22" s="8" t="n">
        <v>1.2</v>
      </c>
      <c r="O22" s="8" t="n">
        <f aca="false">H22*Methodology!$E$4+I22*Methodology!$E$5+J22*Methodology!$E$6+K22*Methodology!$E$7+L22*Methodology!$E$8+M22*Methodology!$E$9+N22*Methodology!$E$10</f>
        <v>0.78</v>
      </c>
      <c r="P22" s="8" t="n">
        <f aca="false">1+(O22*2.25)</f>
        <v>2.755</v>
      </c>
      <c r="Q22" s="7" t="n">
        <f aca="false">ROUND(P22,0)</f>
        <v>3</v>
      </c>
      <c r="R22" s="3" t="s">
        <v>127</v>
      </c>
    </row>
    <row r="23" customFormat="false" ht="23.25" hidden="false" customHeight="true" outlineLevel="0" collapsed="false">
      <c r="A23" s="7" t="n">
        <v>3</v>
      </c>
      <c r="B23" s="3" t="s">
        <v>28</v>
      </c>
      <c r="C23" s="3" t="s">
        <v>128</v>
      </c>
      <c r="D23" s="3" t="s">
        <v>129</v>
      </c>
      <c r="E23" s="3" t="s">
        <v>130</v>
      </c>
      <c r="F23" s="3" t="s">
        <v>61</v>
      </c>
      <c r="G23" s="3" t="s">
        <v>61</v>
      </c>
      <c r="H23" s="8" t="n">
        <v>0.85</v>
      </c>
      <c r="I23" s="8" t="n">
        <v>0.75</v>
      </c>
      <c r="J23" s="8" t="n">
        <v>0.65</v>
      </c>
      <c r="K23" s="8" t="n">
        <v>0.85</v>
      </c>
      <c r="L23" s="8" t="n">
        <v>0.55</v>
      </c>
      <c r="M23" s="8" t="n">
        <v>0.6</v>
      </c>
      <c r="N23" s="8" t="n">
        <v>1.15</v>
      </c>
      <c r="O23" s="8" t="n">
        <f aca="false">H23*Methodology!$E$4+I23*Methodology!$E$5+J23*Methodology!$E$6+K23*Methodology!$E$7+L23*Methodology!$E$8+M23*Methodology!$E$9+N23*Methodology!$E$10</f>
        <v>0.7525</v>
      </c>
      <c r="P23" s="8" t="n">
        <f aca="false">1+(O23*2.25)</f>
        <v>2.693125</v>
      </c>
      <c r="Q23" s="7" t="n">
        <f aca="false">ROUND(P23,0)</f>
        <v>3</v>
      </c>
      <c r="R23" s="3" t="s">
        <v>131</v>
      </c>
    </row>
    <row r="24" customFormat="false" ht="23.25" hidden="false" customHeight="true" outlineLevel="0" collapsed="false">
      <c r="A24" s="7" t="n">
        <v>3</v>
      </c>
      <c r="B24" s="3" t="s">
        <v>28</v>
      </c>
      <c r="C24" s="3" t="s">
        <v>132</v>
      </c>
      <c r="D24" s="3" t="s">
        <v>59</v>
      </c>
      <c r="E24" s="3" t="s">
        <v>60</v>
      </c>
      <c r="F24" s="3" t="s">
        <v>61</v>
      </c>
      <c r="G24" s="3" t="s">
        <v>61</v>
      </c>
      <c r="H24" s="8" t="n">
        <v>0.85</v>
      </c>
      <c r="I24" s="8" t="n">
        <v>0.75</v>
      </c>
      <c r="J24" s="8" t="n">
        <v>0.65</v>
      </c>
      <c r="K24" s="8" t="n">
        <v>0.95</v>
      </c>
      <c r="L24" s="8" t="n">
        <v>0.6</v>
      </c>
      <c r="M24" s="8" t="n">
        <v>0.6</v>
      </c>
      <c r="N24" s="8" t="n">
        <v>1.1</v>
      </c>
      <c r="O24" s="8" t="n">
        <f aca="false">H24*Methodology!$E$4+I24*Methodology!$E$5+J24*Methodology!$E$6+K24*Methodology!$E$7+L24*Methodology!$E$8+M24*Methodology!$E$9+N24*Methodology!$E$10</f>
        <v>0.77</v>
      </c>
      <c r="P24" s="8" t="n">
        <f aca="false">1+(O24*2.25)</f>
        <v>2.7325</v>
      </c>
      <c r="Q24" s="7" t="n">
        <f aca="false">ROUND(P24,0)</f>
        <v>3</v>
      </c>
      <c r="R24" s="3" t="s">
        <v>133</v>
      </c>
    </row>
    <row r="25" customFormat="false" ht="23.25" hidden="false" customHeight="true" outlineLevel="0" collapsed="false">
      <c r="A25" s="7" t="n">
        <v>3</v>
      </c>
      <c r="B25" s="3" t="s">
        <v>28</v>
      </c>
      <c r="C25" s="3" t="s">
        <v>134</v>
      </c>
      <c r="D25" s="3" t="s">
        <v>59</v>
      </c>
      <c r="E25" s="3" t="s">
        <v>60</v>
      </c>
      <c r="F25" s="3" t="s">
        <v>61</v>
      </c>
      <c r="G25" s="3" t="s">
        <v>61</v>
      </c>
      <c r="H25" s="8" t="n">
        <v>1.05</v>
      </c>
      <c r="I25" s="8" t="n">
        <v>0.75</v>
      </c>
      <c r="J25" s="8" t="n">
        <v>0.65</v>
      </c>
      <c r="K25" s="8" t="n">
        <v>0.85</v>
      </c>
      <c r="L25" s="8" t="n">
        <v>0.6</v>
      </c>
      <c r="M25" s="8" t="n">
        <v>0.6</v>
      </c>
      <c r="N25" s="8" t="n">
        <v>1.15</v>
      </c>
      <c r="O25" s="8" t="n">
        <f aca="false">H25*Methodology!$E$4+I25*Methodology!$E$5+J25*Methodology!$E$6+K25*Methodology!$E$7+L25*Methodology!$E$8+M25*Methodology!$E$9+N25*Methodology!$E$10</f>
        <v>0.79</v>
      </c>
      <c r="P25" s="8" t="n">
        <f aca="false">1+(O25*2.25)</f>
        <v>2.7775</v>
      </c>
      <c r="Q25" s="7" t="n">
        <f aca="false">ROUND(P25,0)</f>
        <v>3</v>
      </c>
      <c r="R25" s="3" t="s">
        <v>135</v>
      </c>
    </row>
    <row r="26" customFormat="false" ht="23.25" hidden="false" customHeight="true" outlineLevel="0" collapsed="false">
      <c r="A26" s="7" t="n">
        <v>3</v>
      </c>
      <c r="B26" s="3" t="s">
        <v>28</v>
      </c>
      <c r="C26" s="3" t="s">
        <v>136</v>
      </c>
      <c r="D26" s="3" t="s">
        <v>81</v>
      </c>
      <c r="E26" s="3" t="s">
        <v>95</v>
      </c>
      <c r="F26" s="3" t="s">
        <v>61</v>
      </c>
      <c r="G26" s="3" t="s">
        <v>61</v>
      </c>
      <c r="H26" s="8" t="n">
        <v>1</v>
      </c>
      <c r="I26" s="8" t="n">
        <v>0.75</v>
      </c>
      <c r="J26" s="8" t="n">
        <v>0.65</v>
      </c>
      <c r="K26" s="8" t="n">
        <v>0.85</v>
      </c>
      <c r="L26" s="8" t="n">
        <v>0.6</v>
      </c>
      <c r="M26" s="8" t="n">
        <v>0.6</v>
      </c>
      <c r="N26" s="8" t="n">
        <v>1.2</v>
      </c>
      <c r="O26" s="8" t="n">
        <f aca="false">H26*Methodology!$E$4+I26*Methodology!$E$5+J26*Methodology!$E$6+K26*Methodology!$E$7+L26*Methodology!$E$8+M26*Methodology!$E$9+N26*Methodology!$E$10</f>
        <v>0.7875</v>
      </c>
      <c r="P26" s="8" t="n">
        <f aca="false">1+(O26*2.25)</f>
        <v>2.771875</v>
      </c>
      <c r="Q26" s="7" t="n">
        <f aca="false">ROUND(P26,0)</f>
        <v>3</v>
      </c>
      <c r="R26" s="3" t="s">
        <v>137</v>
      </c>
    </row>
    <row r="27" customFormat="false" ht="23.25" hidden="false" customHeight="true" outlineLevel="0" collapsed="false">
      <c r="A27" s="7" t="n">
        <v>3</v>
      </c>
      <c r="B27" s="3" t="s">
        <v>28</v>
      </c>
      <c r="C27" s="3" t="s">
        <v>138</v>
      </c>
      <c r="D27" s="3" t="s">
        <v>139</v>
      </c>
      <c r="E27" s="3" t="s">
        <v>103</v>
      </c>
      <c r="F27" s="3" t="s">
        <v>61</v>
      </c>
      <c r="G27" s="3" t="s">
        <v>61</v>
      </c>
      <c r="H27" s="8" t="n">
        <v>0.85</v>
      </c>
      <c r="I27" s="8" t="n">
        <v>0.75</v>
      </c>
      <c r="J27" s="8" t="n">
        <v>0.65</v>
      </c>
      <c r="K27" s="8" t="n">
        <v>0.85</v>
      </c>
      <c r="L27" s="8" t="n">
        <v>0.5</v>
      </c>
      <c r="M27" s="8" t="n">
        <v>0.6</v>
      </c>
      <c r="N27" s="8" t="n">
        <v>1.15</v>
      </c>
      <c r="O27" s="8" t="n">
        <f aca="false">H27*Methodology!$E$4+I27*Methodology!$E$5+J27*Methodology!$E$6+K27*Methodology!$E$7+L27*Methodology!$E$8+M27*Methodology!$E$9+N27*Methodology!$E$10</f>
        <v>0.745</v>
      </c>
      <c r="P27" s="8" t="n">
        <f aca="false">1+(O27*2.25)</f>
        <v>2.67625</v>
      </c>
      <c r="Q27" s="7" t="n">
        <f aca="false">ROUND(P27,0)</f>
        <v>3</v>
      </c>
      <c r="R27" s="3" t="s">
        <v>140</v>
      </c>
    </row>
    <row r="28" customFormat="false" ht="23.25" hidden="false" customHeight="true" outlineLevel="0" collapsed="false">
      <c r="A28" s="7" t="n">
        <v>3</v>
      </c>
      <c r="B28" s="3" t="s">
        <v>28</v>
      </c>
      <c r="C28" s="3" t="s">
        <v>141</v>
      </c>
      <c r="D28" s="3" t="s">
        <v>139</v>
      </c>
      <c r="E28" s="3" t="s">
        <v>103</v>
      </c>
      <c r="F28" s="3" t="s">
        <v>61</v>
      </c>
      <c r="G28" s="3" t="s">
        <v>61</v>
      </c>
      <c r="H28" s="8" t="n">
        <v>1</v>
      </c>
      <c r="I28" s="8" t="n">
        <v>0.75</v>
      </c>
      <c r="J28" s="8" t="n">
        <v>0.65</v>
      </c>
      <c r="K28" s="8" t="n">
        <v>0.85</v>
      </c>
      <c r="L28" s="8" t="n">
        <v>0.6</v>
      </c>
      <c r="M28" s="8" t="n">
        <v>0.6</v>
      </c>
      <c r="N28" s="8" t="n">
        <v>1.2</v>
      </c>
      <c r="O28" s="8" t="n">
        <f aca="false">H28*Methodology!$E$4+I28*Methodology!$E$5+J28*Methodology!$E$6+K28*Methodology!$E$7+L28*Methodology!$E$8+M28*Methodology!$E$9+N28*Methodology!$E$10</f>
        <v>0.7875</v>
      </c>
      <c r="P28" s="8" t="n">
        <f aca="false">1+(O28*2.25)</f>
        <v>2.771875</v>
      </c>
      <c r="Q28" s="7" t="n">
        <f aca="false">ROUND(P28,0)</f>
        <v>3</v>
      </c>
      <c r="R28" s="3" t="s">
        <v>142</v>
      </c>
    </row>
    <row r="29" customFormat="false" ht="23.25" hidden="false" customHeight="true" outlineLevel="0" collapsed="false">
      <c r="A29" s="7" t="n">
        <v>3</v>
      </c>
      <c r="B29" s="3" t="s">
        <v>28</v>
      </c>
      <c r="C29" s="3" t="s">
        <v>143</v>
      </c>
      <c r="D29" s="3" t="s">
        <v>129</v>
      </c>
      <c r="E29" s="3" t="s">
        <v>144</v>
      </c>
      <c r="F29" s="3" t="s">
        <v>61</v>
      </c>
      <c r="G29" s="3" t="s">
        <v>62</v>
      </c>
      <c r="H29" s="8" t="n">
        <v>0.95</v>
      </c>
      <c r="I29" s="8" t="n">
        <v>0.75</v>
      </c>
      <c r="J29" s="8" t="n">
        <v>0.65</v>
      </c>
      <c r="K29" s="8" t="n">
        <v>0.85</v>
      </c>
      <c r="L29" s="8" t="n">
        <v>0.6</v>
      </c>
      <c r="M29" s="8" t="n">
        <v>0.6</v>
      </c>
      <c r="N29" s="8" t="n">
        <v>1.05</v>
      </c>
      <c r="O29" s="8" t="n">
        <f aca="false">H29*Methodology!$E$4+I29*Methodology!$E$5+J29*Methodology!$E$6+K29*Methodology!$E$7+L29*Methodology!$E$8+M29*Methodology!$E$9+N29*Methodology!$E$10</f>
        <v>0.765</v>
      </c>
      <c r="P29" s="8" t="n">
        <f aca="false">1+(O29*2.25)</f>
        <v>2.72125</v>
      </c>
      <c r="Q29" s="7" t="n">
        <f aca="false">ROUND(P29,0)</f>
        <v>3</v>
      </c>
      <c r="R29" s="3" t="s">
        <v>145</v>
      </c>
    </row>
    <row r="30" customFormat="false" ht="23.25" hidden="false" customHeight="true" outlineLevel="0" collapsed="false">
      <c r="A30" s="7" t="n">
        <v>3</v>
      </c>
      <c r="B30" s="3" t="s">
        <v>28</v>
      </c>
      <c r="C30" s="3" t="s">
        <v>146</v>
      </c>
      <c r="D30" s="3" t="s">
        <v>88</v>
      </c>
      <c r="E30" s="3" t="s">
        <v>89</v>
      </c>
      <c r="F30" s="3" t="s">
        <v>61</v>
      </c>
      <c r="G30" s="3" t="s">
        <v>61</v>
      </c>
      <c r="H30" s="8" t="n">
        <v>0.85</v>
      </c>
      <c r="I30" s="8" t="n">
        <v>0.75</v>
      </c>
      <c r="J30" s="8" t="n">
        <v>0.65</v>
      </c>
      <c r="K30" s="8" t="n">
        <v>1</v>
      </c>
      <c r="L30" s="8" t="n">
        <v>0.6</v>
      </c>
      <c r="M30" s="8" t="n">
        <v>0.6</v>
      </c>
      <c r="N30" s="8" t="n">
        <v>1.15</v>
      </c>
      <c r="O30" s="8" t="n">
        <f aca="false">H30*Methodology!$E$4+I30*Methodology!$E$5+J30*Methodology!$E$6+K30*Methodology!$E$7+L30*Methodology!$E$8+M30*Methodology!$E$9+N30*Methodology!$E$10</f>
        <v>0.7825</v>
      </c>
      <c r="P30" s="8" t="n">
        <f aca="false">1+(O30*2.25)</f>
        <v>2.760625</v>
      </c>
      <c r="Q30" s="7" t="n">
        <f aca="false">ROUND(P30,0)</f>
        <v>3</v>
      </c>
      <c r="R30" s="3" t="s">
        <v>147</v>
      </c>
    </row>
    <row r="31" customFormat="false" ht="23.25" hidden="false" customHeight="true" outlineLevel="0" collapsed="false">
      <c r="A31" s="7" t="n">
        <v>3</v>
      </c>
      <c r="B31" s="3" t="s">
        <v>28</v>
      </c>
      <c r="C31" s="3" t="s">
        <v>148</v>
      </c>
      <c r="D31" s="3" t="s">
        <v>88</v>
      </c>
      <c r="E31" s="3" t="s">
        <v>89</v>
      </c>
      <c r="F31" s="3" t="s">
        <v>61</v>
      </c>
      <c r="G31" s="3" t="s">
        <v>61</v>
      </c>
      <c r="H31" s="8" t="n">
        <v>1</v>
      </c>
      <c r="I31" s="8" t="n">
        <v>0.75</v>
      </c>
      <c r="J31" s="8" t="n">
        <v>0.65</v>
      </c>
      <c r="K31" s="8" t="n">
        <v>0.85</v>
      </c>
      <c r="L31" s="8" t="n">
        <v>0.6</v>
      </c>
      <c r="M31" s="8" t="n">
        <v>0.6</v>
      </c>
      <c r="N31" s="8" t="n">
        <v>1.35</v>
      </c>
      <c r="O31" s="8" t="n">
        <f aca="false">H31*Methodology!$E$4+I31*Methodology!$E$5+J31*Methodology!$E$6+K31*Methodology!$E$7+L31*Methodology!$E$8+M31*Methodology!$E$9+N31*Methodology!$E$10</f>
        <v>0.8025</v>
      </c>
      <c r="P31" s="8" t="n">
        <f aca="false">1+(O31*2.25)</f>
        <v>2.805625</v>
      </c>
      <c r="Q31" s="7" t="n">
        <f aca="false">ROUND(P31,0)</f>
        <v>3</v>
      </c>
      <c r="R31" s="3" t="s">
        <v>149</v>
      </c>
    </row>
    <row r="32" customFormat="false" ht="23.25" hidden="false" customHeight="true" outlineLevel="0" collapsed="false">
      <c r="A32" s="7" t="n">
        <v>3</v>
      </c>
      <c r="B32" s="3" t="s">
        <v>28</v>
      </c>
      <c r="C32" s="3" t="s">
        <v>150</v>
      </c>
      <c r="D32" s="3" t="s">
        <v>151</v>
      </c>
      <c r="E32" s="3" t="s">
        <v>152</v>
      </c>
      <c r="F32" s="3" t="s">
        <v>61</v>
      </c>
      <c r="G32" s="3" t="s">
        <v>61</v>
      </c>
      <c r="H32" s="8" t="n">
        <v>0.95</v>
      </c>
      <c r="I32" s="8" t="n">
        <v>0.75</v>
      </c>
      <c r="J32" s="8" t="n">
        <v>0.6</v>
      </c>
      <c r="K32" s="8" t="n">
        <v>0.85</v>
      </c>
      <c r="L32" s="8" t="n">
        <v>0.6</v>
      </c>
      <c r="M32" s="8" t="n">
        <v>0.6</v>
      </c>
      <c r="N32" s="8" t="n">
        <v>1</v>
      </c>
      <c r="O32" s="8" t="n">
        <f aca="false">H32*Methodology!$E$4+I32*Methodology!$E$5+J32*Methodology!$E$6+K32*Methodology!$E$7+L32*Methodology!$E$8+M32*Methodology!$E$9+N32*Methodology!$E$10</f>
        <v>0.7525</v>
      </c>
      <c r="P32" s="8" t="n">
        <f aca="false">1+(O32*2.25)</f>
        <v>2.693125</v>
      </c>
      <c r="Q32" s="7" t="n">
        <f aca="false">ROUND(P32,0)</f>
        <v>3</v>
      </c>
      <c r="R32" s="3" t="s">
        <v>153</v>
      </c>
    </row>
    <row r="33" customFormat="false" ht="23.25" hidden="false" customHeight="true" outlineLevel="0" collapsed="false">
      <c r="A33" s="7" t="n">
        <v>3</v>
      </c>
      <c r="B33" s="3" t="s">
        <v>28</v>
      </c>
      <c r="C33" s="3" t="s">
        <v>154</v>
      </c>
      <c r="D33" s="3" t="s">
        <v>129</v>
      </c>
      <c r="E33" s="3" t="s">
        <v>155</v>
      </c>
      <c r="F33" s="3" t="s">
        <v>61</v>
      </c>
      <c r="G33" s="3" t="s">
        <v>61</v>
      </c>
      <c r="H33" s="8" t="n">
        <v>0.85</v>
      </c>
      <c r="I33" s="8" t="n">
        <v>0.75</v>
      </c>
      <c r="J33" s="8" t="n">
        <v>0.65</v>
      </c>
      <c r="K33" s="8" t="n">
        <v>1.05</v>
      </c>
      <c r="L33" s="8" t="n">
        <v>0.6</v>
      </c>
      <c r="M33" s="8" t="n">
        <v>0.6</v>
      </c>
      <c r="N33" s="8" t="n">
        <v>1.1</v>
      </c>
      <c r="O33" s="8" t="n">
        <f aca="false">H33*Methodology!$E$4+I33*Methodology!$E$5+J33*Methodology!$E$6+K33*Methodology!$E$7+L33*Methodology!$E$8+M33*Methodology!$E$9+N33*Methodology!$E$10</f>
        <v>0.785</v>
      </c>
      <c r="P33" s="8" t="n">
        <f aca="false">1+(O33*2.25)</f>
        <v>2.76625</v>
      </c>
      <c r="Q33" s="7" t="n">
        <f aca="false">ROUND(P33,0)</f>
        <v>3</v>
      </c>
      <c r="R33" s="3" t="s">
        <v>156</v>
      </c>
    </row>
    <row r="34" customFormat="false" ht="23.25" hidden="false" customHeight="true" outlineLevel="0" collapsed="false">
      <c r="A34" s="7" t="n">
        <v>4</v>
      </c>
      <c r="B34" s="3" t="s">
        <v>29</v>
      </c>
      <c r="C34" s="3" t="s">
        <v>157</v>
      </c>
      <c r="D34" s="3" t="s">
        <v>69</v>
      </c>
      <c r="E34" s="3" t="s">
        <v>158</v>
      </c>
      <c r="F34" s="3" t="s">
        <v>61</v>
      </c>
      <c r="G34" s="3" t="s">
        <v>61</v>
      </c>
      <c r="H34" s="8" t="n">
        <v>1.25</v>
      </c>
      <c r="I34" s="8" t="n">
        <v>1.15</v>
      </c>
      <c r="J34" s="8" t="n">
        <v>1.3</v>
      </c>
      <c r="K34" s="8" t="n">
        <v>1.55</v>
      </c>
      <c r="L34" s="8" t="n">
        <v>1</v>
      </c>
      <c r="M34" s="8" t="n">
        <v>1.05</v>
      </c>
      <c r="N34" s="8" t="n">
        <v>1.45</v>
      </c>
      <c r="O34" s="8" t="n">
        <f aca="false">H34*Methodology!$E$4+I34*Methodology!$E$5+J34*Methodology!$E$6+K34*Methodology!$E$7+L34*Methodology!$E$8+M34*Methodology!$E$9+N34*Methodology!$E$10</f>
        <v>1.24</v>
      </c>
      <c r="P34" s="8" t="n">
        <f aca="false">1+(O34*2.25)</f>
        <v>3.79</v>
      </c>
      <c r="Q34" s="7" t="n">
        <f aca="false">ROUND(P34,0)</f>
        <v>4</v>
      </c>
      <c r="R34" s="3" t="s">
        <v>159</v>
      </c>
    </row>
    <row r="35" customFormat="false" ht="23.25" hidden="false" customHeight="true" outlineLevel="0" collapsed="false">
      <c r="A35" s="7" t="n">
        <v>4</v>
      </c>
      <c r="B35" s="3" t="s">
        <v>29</v>
      </c>
      <c r="C35" s="3" t="s">
        <v>160</v>
      </c>
      <c r="D35" s="3" t="s">
        <v>69</v>
      </c>
      <c r="E35" s="3" t="s">
        <v>161</v>
      </c>
      <c r="F35" s="3" t="s">
        <v>61</v>
      </c>
      <c r="G35" s="3" t="s">
        <v>61</v>
      </c>
      <c r="H35" s="8" t="n">
        <v>1.35</v>
      </c>
      <c r="I35" s="8" t="n">
        <v>1.15</v>
      </c>
      <c r="J35" s="8" t="n">
        <v>1.2</v>
      </c>
      <c r="K35" s="8" t="n">
        <v>1.35</v>
      </c>
      <c r="L35" s="8" t="n">
        <v>0.9</v>
      </c>
      <c r="M35" s="8" t="n">
        <v>1.05</v>
      </c>
      <c r="N35" s="8" t="n">
        <v>1.45</v>
      </c>
      <c r="O35" s="8" t="n">
        <f aca="false">H35*Methodology!$E$4+I35*Methodology!$E$5+J35*Methodology!$E$6+K35*Methodology!$E$7+L35*Methodology!$E$8+M35*Methodology!$E$9+N35*Methodology!$E$10</f>
        <v>1.195</v>
      </c>
      <c r="P35" s="8" t="n">
        <f aca="false">1+(O35*2.25)</f>
        <v>3.68875</v>
      </c>
      <c r="Q35" s="7" t="n">
        <f aca="false">ROUND(P35,0)</f>
        <v>4</v>
      </c>
      <c r="R35" s="3" t="s">
        <v>162</v>
      </c>
    </row>
    <row r="36" customFormat="false" ht="23.25" hidden="false" customHeight="true" outlineLevel="0" collapsed="false">
      <c r="A36" s="7" t="n">
        <v>4</v>
      </c>
      <c r="B36" s="3" t="s">
        <v>29</v>
      </c>
      <c r="C36" s="3" t="s">
        <v>163</v>
      </c>
      <c r="D36" s="3" t="s">
        <v>151</v>
      </c>
      <c r="E36" s="3" t="s">
        <v>161</v>
      </c>
      <c r="F36" s="3" t="s">
        <v>61</v>
      </c>
      <c r="G36" s="3" t="s">
        <v>61</v>
      </c>
      <c r="H36" s="8" t="n">
        <v>1.35</v>
      </c>
      <c r="I36" s="8" t="n">
        <v>1.15</v>
      </c>
      <c r="J36" s="8" t="n">
        <v>1.2</v>
      </c>
      <c r="K36" s="8" t="n">
        <v>1.35</v>
      </c>
      <c r="L36" s="8" t="n">
        <v>1</v>
      </c>
      <c r="M36" s="8" t="n">
        <v>1.05</v>
      </c>
      <c r="N36" s="8" t="n">
        <v>1.65</v>
      </c>
      <c r="O36" s="8" t="n">
        <f aca="false">H36*Methodology!$E$4+I36*Methodology!$E$5+J36*Methodology!$E$6+K36*Methodology!$E$7+L36*Methodology!$E$8+M36*Methodology!$E$9+N36*Methodology!$E$10</f>
        <v>1.23</v>
      </c>
      <c r="P36" s="8" t="n">
        <f aca="false">1+(O36*2.25)</f>
        <v>3.7675</v>
      </c>
      <c r="Q36" s="7" t="n">
        <f aca="false">ROUND(P36,0)</f>
        <v>4</v>
      </c>
      <c r="R36" s="3" t="s">
        <v>164</v>
      </c>
    </row>
    <row r="37" customFormat="false" ht="23.25" hidden="false" customHeight="true" outlineLevel="0" collapsed="false">
      <c r="A37" s="7" t="n">
        <v>4</v>
      </c>
      <c r="B37" s="3" t="s">
        <v>29</v>
      </c>
      <c r="C37" s="3" t="s">
        <v>165</v>
      </c>
      <c r="D37" s="3" t="s">
        <v>166</v>
      </c>
      <c r="E37" s="3" t="s">
        <v>95</v>
      </c>
      <c r="F37" s="3" t="s">
        <v>61</v>
      </c>
      <c r="G37" s="3" t="s">
        <v>61</v>
      </c>
      <c r="H37" s="8" t="n">
        <v>1.55</v>
      </c>
      <c r="I37" s="8" t="n">
        <v>1.15</v>
      </c>
      <c r="J37" s="8" t="n">
        <v>1.2</v>
      </c>
      <c r="K37" s="8" t="n">
        <v>1.35</v>
      </c>
      <c r="L37" s="8" t="n">
        <v>1</v>
      </c>
      <c r="M37" s="8" t="n">
        <v>1.05</v>
      </c>
      <c r="N37" s="8" t="n">
        <v>1.65</v>
      </c>
      <c r="O37" s="8" t="n">
        <f aca="false">H37*Methodology!$E$4+I37*Methodology!$E$5+J37*Methodology!$E$6+K37*Methodology!$E$7+L37*Methodology!$E$8+M37*Methodology!$E$9+N37*Methodology!$E$10</f>
        <v>1.26</v>
      </c>
      <c r="P37" s="8" t="n">
        <f aca="false">1+(O37*2.25)</f>
        <v>3.835</v>
      </c>
      <c r="Q37" s="7" t="n">
        <f aca="false">ROUND(P37,0)</f>
        <v>4</v>
      </c>
      <c r="R37" s="3" t="s">
        <v>167</v>
      </c>
    </row>
    <row r="38" customFormat="false" ht="23.25" hidden="false" customHeight="true" outlineLevel="0" collapsed="false">
      <c r="A38" s="7" t="n">
        <v>4</v>
      </c>
      <c r="B38" s="3" t="s">
        <v>29</v>
      </c>
      <c r="C38" s="3" t="s">
        <v>168</v>
      </c>
      <c r="D38" s="3" t="s">
        <v>102</v>
      </c>
      <c r="E38" s="3" t="s">
        <v>169</v>
      </c>
      <c r="F38" s="3" t="s">
        <v>61</v>
      </c>
      <c r="G38" s="3" t="s">
        <v>61</v>
      </c>
      <c r="H38" s="8" t="n">
        <v>1.25</v>
      </c>
      <c r="I38" s="8" t="n">
        <v>1.15</v>
      </c>
      <c r="J38" s="8" t="n">
        <v>1.2</v>
      </c>
      <c r="K38" s="8" t="n">
        <v>1.5</v>
      </c>
      <c r="L38" s="8" t="n">
        <v>1</v>
      </c>
      <c r="M38" s="8" t="n">
        <v>1.05</v>
      </c>
      <c r="N38" s="8" t="n">
        <v>1.55</v>
      </c>
      <c r="O38" s="8" t="n">
        <f aca="false">H38*Methodology!$E$4+I38*Methodology!$E$5+J38*Methodology!$E$6+K38*Methodology!$E$7+L38*Methodology!$E$8+M38*Methodology!$E$9+N38*Methodology!$E$10</f>
        <v>1.2275</v>
      </c>
      <c r="P38" s="8" t="n">
        <f aca="false">1+(O38*2.25)</f>
        <v>3.761875</v>
      </c>
      <c r="Q38" s="7" t="n">
        <f aca="false">ROUND(P38,0)</f>
        <v>4</v>
      </c>
      <c r="R38" s="3" t="s">
        <v>170</v>
      </c>
    </row>
    <row r="39" customFormat="false" ht="23.25" hidden="false" customHeight="true" outlineLevel="0" collapsed="false">
      <c r="A39" s="7" t="n">
        <v>4</v>
      </c>
      <c r="B39" s="3" t="s">
        <v>29</v>
      </c>
      <c r="C39" s="3" t="s">
        <v>171</v>
      </c>
      <c r="D39" s="3" t="s">
        <v>172</v>
      </c>
      <c r="E39" s="3" t="s">
        <v>173</v>
      </c>
      <c r="F39" s="3" t="s">
        <v>61</v>
      </c>
      <c r="G39" s="3" t="s">
        <v>61</v>
      </c>
      <c r="H39" s="8" t="n">
        <v>1.45</v>
      </c>
      <c r="I39" s="8" t="n">
        <v>1.15</v>
      </c>
      <c r="J39" s="8" t="n">
        <v>1.2</v>
      </c>
      <c r="K39" s="8" t="n">
        <v>1.35</v>
      </c>
      <c r="L39" s="8" t="n">
        <v>1</v>
      </c>
      <c r="M39" s="8" t="n">
        <v>1.05</v>
      </c>
      <c r="N39" s="8" t="n">
        <v>1.65</v>
      </c>
      <c r="O39" s="8" t="n">
        <f aca="false">H39*Methodology!$E$4+I39*Methodology!$E$5+J39*Methodology!$E$6+K39*Methodology!$E$7+L39*Methodology!$E$8+M39*Methodology!$E$9+N39*Methodology!$E$10</f>
        <v>1.245</v>
      </c>
      <c r="P39" s="8" t="n">
        <f aca="false">1+(O39*2.25)</f>
        <v>3.80125</v>
      </c>
      <c r="Q39" s="7" t="n">
        <f aca="false">ROUND(P39,0)</f>
        <v>4</v>
      </c>
      <c r="R39" s="3" t="s">
        <v>174</v>
      </c>
    </row>
    <row r="40" customFormat="false" ht="23.25" hidden="false" customHeight="true" outlineLevel="0" collapsed="false">
      <c r="A40" s="7" t="n">
        <v>4</v>
      </c>
      <c r="B40" s="3" t="s">
        <v>29</v>
      </c>
      <c r="C40" s="3" t="s">
        <v>175</v>
      </c>
      <c r="D40" s="3" t="s">
        <v>129</v>
      </c>
      <c r="E40" s="3" t="s">
        <v>176</v>
      </c>
      <c r="F40" s="3" t="s">
        <v>61</v>
      </c>
      <c r="G40" s="3" t="s">
        <v>61</v>
      </c>
      <c r="H40" s="8" t="n">
        <v>1.25</v>
      </c>
      <c r="I40" s="8" t="n">
        <v>1.15</v>
      </c>
      <c r="J40" s="8" t="n">
        <v>1.2</v>
      </c>
      <c r="K40" s="8" t="n">
        <v>1.6</v>
      </c>
      <c r="L40" s="8" t="n">
        <v>1</v>
      </c>
      <c r="M40" s="8" t="n">
        <v>1.05</v>
      </c>
      <c r="N40" s="8" t="n">
        <v>1.65</v>
      </c>
      <c r="O40" s="8" t="n">
        <f aca="false">H40*Methodology!$E$4+I40*Methodology!$E$5+J40*Methodology!$E$6+K40*Methodology!$E$7+L40*Methodology!$E$8+M40*Methodology!$E$9+N40*Methodology!$E$10</f>
        <v>1.2525</v>
      </c>
      <c r="P40" s="8" t="n">
        <f aca="false">1+(O40*2.25)</f>
        <v>3.818125</v>
      </c>
      <c r="Q40" s="7" t="n">
        <f aca="false">ROUND(P40,0)</f>
        <v>4</v>
      </c>
      <c r="R40" s="3" t="s">
        <v>177</v>
      </c>
    </row>
    <row r="41" customFormat="false" ht="23.25" hidden="false" customHeight="true" outlineLevel="0" collapsed="false">
      <c r="A41" s="7" t="n">
        <v>4</v>
      </c>
      <c r="B41" s="3" t="s">
        <v>29</v>
      </c>
      <c r="C41" s="3" t="s">
        <v>178</v>
      </c>
      <c r="D41" s="3" t="s">
        <v>88</v>
      </c>
      <c r="E41" s="3" t="s">
        <v>89</v>
      </c>
      <c r="F41" s="3" t="s">
        <v>61</v>
      </c>
      <c r="G41" s="3" t="s">
        <v>61</v>
      </c>
      <c r="H41" s="8" t="n">
        <v>1.25</v>
      </c>
      <c r="I41" s="8" t="n">
        <v>1.15</v>
      </c>
      <c r="J41" s="8" t="n">
        <v>1.3</v>
      </c>
      <c r="K41" s="8" t="n">
        <v>1.6</v>
      </c>
      <c r="L41" s="8" t="n">
        <v>1</v>
      </c>
      <c r="M41" s="8" t="n">
        <v>1.05</v>
      </c>
      <c r="N41" s="8" t="n">
        <v>1.45</v>
      </c>
      <c r="O41" s="8" t="n">
        <f aca="false">H41*Methodology!$E$4+I41*Methodology!$E$5+J41*Methodology!$E$6+K41*Methodology!$E$7+L41*Methodology!$E$8+M41*Methodology!$E$9+N41*Methodology!$E$10</f>
        <v>1.2475</v>
      </c>
      <c r="P41" s="8" t="n">
        <f aca="false">1+(O41*2.25)</f>
        <v>3.806875</v>
      </c>
      <c r="Q41" s="7" t="n">
        <f aca="false">ROUND(P41,0)</f>
        <v>4</v>
      </c>
      <c r="R41" s="3" t="s">
        <v>179</v>
      </c>
    </row>
    <row r="42" customFormat="false" ht="23.25" hidden="false" customHeight="true" outlineLevel="0" collapsed="false">
      <c r="A42" s="7" t="n">
        <v>4</v>
      </c>
      <c r="B42" s="3" t="s">
        <v>29</v>
      </c>
      <c r="C42" s="3" t="s">
        <v>180</v>
      </c>
      <c r="D42" s="3" t="s">
        <v>88</v>
      </c>
      <c r="E42" s="3" t="s">
        <v>89</v>
      </c>
      <c r="F42" s="3" t="s">
        <v>61</v>
      </c>
      <c r="G42" s="3" t="s">
        <v>61</v>
      </c>
      <c r="H42" s="8" t="n">
        <v>1.4</v>
      </c>
      <c r="I42" s="8" t="n">
        <v>1.15</v>
      </c>
      <c r="J42" s="8" t="n">
        <v>1.2</v>
      </c>
      <c r="K42" s="8" t="n">
        <v>1.35</v>
      </c>
      <c r="L42" s="8" t="n">
        <v>1</v>
      </c>
      <c r="M42" s="8" t="n">
        <v>1.05</v>
      </c>
      <c r="N42" s="8" t="n">
        <v>1.7</v>
      </c>
      <c r="O42" s="8" t="n">
        <f aca="false">H42*Methodology!$E$4+I42*Methodology!$E$5+J42*Methodology!$E$6+K42*Methodology!$E$7+L42*Methodology!$E$8+M42*Methodology!$E$9+N42*Methodology!$E$10</f>
        <v>1.2425</v>
      </c>
      <c r="P42" s="8" t="n">
        <f aca="false">1+(O42*2.25)</f>
        <v>3.795625</v>
      </c>
      <c r="Q42" s="7" t="n">
        <f aca="false">ROUND(P42,0)</f>
        <v>4</v>
      </c>
      <c r="R42" s="3" t="s">
        <v>181</v>
      </c>
    </row>
    <row r="43" customFormat="false" ht="23.25" hidden="false" customHeight="true" outlineLevel="0" collapsed="false">
      <c r="A43" s="7" t="n">
        <v>4</v>
      </c>
      <c r="B43" s="3" t="s">
        <v>29</v>
      </c>
      <c r="C43" s="3" t="s">
        <v>182</v>
      </c>
      <c r="D43" s="3" t="s">
        <v>94</v>
      </c>
      <c r="E43" s="3" t="s">
        <v>89</v>
      </c>
      <c r="F43" s="3" t="s">
        <v>61</v>
      </c>
      <c r="G43" s="3" t="s">
        <v>61</v>
      </c>
      <c r="H43" s="8" t="n">
        <v>1.25</v>
      </c>
      <c r="I43" s="8" t="n">
        <v>1.15</v>
      </c>
      <c r="J43" s="8" t="n">
        <v>1.2</v>
      </c>
      <c r="K43" s="8" t="n">
        <v>1.55</v>
      </c>
      <c r="L43" s="8" t="n">
        <v>1</v>
      </c>
      <c r="M43" s="8" t="n">
        <v>1.05</v>
      </c>
      <c r="N43" s="8" t="n">
        <v>1.75</v>
      </c>
      <c r="O43" s="8" t="n">
        <f aca="false">H43*Methodology!$E$4+I43*Methodology!$E$5+J43*Methodology!$E$6+K43*Methodology!$E$7+L43*Methodology!$E$8+M43*Methodology!$E$9+N43*Methodology!$E$10</f>
        <v>1.255</v>
      </c>
      <c r="P43" s="8" t="n">
        <f aca="false">1+(O43*2.25)</f>
        <v>3.82375</v>
      </c>
      <c r="Q43" s="7" t="n">
        <f aca="false">ROUND(P43,0)</f>
        <v>4</v>
      </c>
      <c r="R43" s="3" t="s">
        <v>183</v>
      </c>
    </row>
    <row r="44" customFormat="false" ht="23.25" hidden="false" customHeight="true" outlineLevel="0" collapsed="false">
      <c r="A44" s="7" t="n">
        <v>4</v>
      </c>
      <c r="B44" s="3" t="s">
        <v>29</v>
      </c>
      <c r="C44" s="3" t="s">
        <v>184</v>
      </c>
      <c r="D44" s="3" t="s">
        <v>185</v>
      </c>
      <c r="E44" s="3" t="s">
        <v>186</v>
      </c>
      <c r="F44" s="3" t="s">
        <v>61</v>
      </c>
      <c r="G44" s="3" t="s">
        <v>61</v>
      </c>
      <c r="H44" s="8" t="n">
        <v>1.25</v>
      </c>
      <c r="I44" s="8" t="n">
        <v>1.15</v>
      </c>
      <c r="J44" s="8" t="n">
        <v>1.2</v>
      </c>
      <c r="K44" s="8" t="n">
        <v>1.35</v>
      </c>
      <c r="L44" s="8" t="n">
        <v>1</v>
      </c>
      <c r="M44" s="8" t="n">
        <v>1.05</v>
      </c>
      <c r="N44" s="8" t="n">
        <v>1.45</v>
      </c>
      <c r="O44" s="8" t="n">
        <f aca="false">H44*Methodology!$E$4+I44*Methodology!$E$5+J44*Methodology!$E$6+K44*Methodology!$E$7+L44*Methodology!$E$8+M44*Methodology!$E$9+N44*Methodology!$E$10</f>
        <v>1.195</v>
      </c>
      <c r="P44" s="8" t="n">
        <f aca="false">1+(O44*2.25)</f>
        <v>3.68875</v>
      </c>
      <c r="Q44" s="7" t="n">
        <f aca="false">ROUND(P44,0)</f>
        <v>4</v>
      </c>
      <c r="R44" s="3" t="s">
        <v>187</v>
      </c>
    </row>
    <row r="45" customFormat="false" ht="23.25" hidden="false" customHeight="true" outlineLevel="0" collapsed="false">
      <c r="A45" s="7" t="n">
        <v>4</v>
      </c>
      <c r="B45" s="3" t="s">
        <v>29</v>
      </c>
      <c r="C45" s="3" t="s">
        <v>188</v>
      </c>
      <c r="D45" s="3" t="s">
        <v>151</v>
      </c>
      <c r="E45" s="3" t="s">
        <v>161</v>
      </c>
      <c r="F45" s="3" t="s">
        <v>61</v>
      </c>
      <c r="G45" s="3" t="s">
        <v>61</v>
      </c>
      <c r="H45" s="8" t="n">
        <v>1.35</v>
      </c>
      <c r="I45" s="8" t="n">
        <v>1.15</v>
      </c>
      <c r="J45" s="8" t="n">
        <v>1.2</v>
      </c>
      <c r="K45" s="8" t="n">
        <v>1.6</v>
      </c>
      <c r="L45" s="8" t="n">
        <v>1</v>
      </c>
      <c r="M45" s="8" t="n">
        <v>1.05</v>
      </c>
      <c r="N45" s="8" t="n">
        <v>1.45</v>
      </c>
      <c r="O45" s="8" t="n">
        <f aca="false">H45*Methodology!$E$4+I45*Methodology!$E$5+J45*Methodology!$E$6+K45*Methodology!$E$7+L45*Methodology!$E$8+M45*Methodology!$E$9+N45*Methodology!$E$10</f>
        <v>1.2475</v>
      </c>
      <c r="P45" s="8" t="n">
        <f aca="false">1+(O45*2.25)</f>
        <v>3.806875</v>
      </c>
      <c r="Q45" s="7" t="n">
        <f aca="false">ROUND(P45,0)</f>
        <v>4</v>
      </c>
      <c r="R45" s="3" t="s">
        <v>189</v>
      </c>
    </row>
    <row r="46" customFormat="false" ht="23.25" hidden="false" customHeight="true" outlineLevel="0" collapsed="false">
      <c r="A46" s="7" t="n">
        <v>4</v>
      </c>
      <c r="B46" s="3" t="s">
        <v>29</v>
      </c>
      <c r="C46" s="3" t="s">
        <v>190</v>
      </c>
      <c r="D46" s="3" t="s">
        <v>191</v>
      </c>
      <c r="E46" s="3" t="s">
        <v>192</v>
      </c>
      <c r="F46" s="3" t="s">
        <v>61</v>
      </c>
      <c r="G46" s="3" t="s">
        <v>62</v>
      </c>
      <c r="H46" s="8" t="n">
        <v>1.25</v>
      </c>
      <c r="I46" s="8" t="n">
        <v>1.15</v>
      </c>
      <c r="J46" s="8" t="n">
        <v>1.25</v>
      </c>
      <c r="K46" s="8" t="n">
        <v>1.35</v>
      </c>
      <c r="L46" s="8" t="n">
        <v>1</v>
      </c>
      <c r="M46" s="8" t="n">
        <v>0.95</v>
      </c>
      <c r="N46" s="8" t="n">
        <v>1.45</v>
      </c>
      <c r="O46" s="8" t="n">
        <f aca="false">H46*Methodology!$E$4+I46*Methodology!$E$5+J46*Methodology!$E$6+K46*Methodology!$E$7+L46*Methodology!$E$8+M46*Methodology!$E$9+N46*Methodology!$E$10</f>
        <v>1.1875</v>
      </c>
      <c r="P46" s="8" t="n">
        <f aca="false">1+(O46*2.25)</f>
        <v>3.671875</v>
      </c>
      <c r="Q46" s="7" t="n">
        <f aca="false">ROUND(P46,0)</f>
        <v>4</v>
      </c>
      <c r="R46" s="3" t="s">
        <v>193</v>
      </c>
    </row>
    <row r="47" customFormat="false" ht="23.25" hidden="false" customHeight="true" outlineLevel="0" collapsed="false">
      <c r="A47" s="7" t="n">
        <v>4</v>
      </c>
      <c r="B47" s="3" t="s">
        <v>29</v>
      </c>
      <c r="C47" s="3" t="s">
        <v>194</v>
      </c>
      <c r="D47" s="3" t="s">
        <v>59</v>
      </c>
      <c r="E47" s="3" t="s">
        <v>60</v>
      </c>
      <c r="F47" s="3" t="s">
        <v>61</v>
      </c>
      <c r="G47" s="3" t="s">
        <v>61</v>
      </c>
      <c r="H47" s="8" t="n">
        <v>1.4</v>
      </c>
      <c r="I47" s="8" t="n">
        <v>1.15</v>
      </c>
      <c r="J47" s="8" t="n">
        <v>1.2</v>
      </c>
      <c r="K47" s="8" t="n">
        <v>1.35</v>
      </c>
      <c r="L47" s="8" t="n">
        <v>1</v>
      </c>
      <c r="M47" s="8" t="n">
        <v>1.05</v>
      </c>
      <c r="N47" s="8" t="n">
        <v>1.65</v>
      </c>
      <c r="O47" s="8" t="n">
        <f aca="false">H47*Methodology!$E$4+I47*Methodology!$E$5+J47*Methodology!$E$6+K47*Methodology!$E$7+L47*Methodology!$E$8+M47*Methodology!$E$9+N47*Methodology!$E$10</f>
        <v>1.2375</v>
      </c>
      <c r="P47" s="8" t="n">
        <f aca="false">1+(O47*2.25)</f>
        <v>3.784375</v>
      </c>
      <c r="Q47" s="7" t="n">
        <f aca="false">ROUND(P47,0)</f>
        <v>4</v>
      </c>
      <c r="R47" s="3" t="s">
        <v>195</v>
      </c>
    </row>
    <row r="48" customFormat="false" ht="23.25" hidden="false" customHeight="true" outlineLevel="0" collapsed="false">
      <c r="A48" s="7" t="n">
        <v>4</v>
      </c>
      <c r="B48" s="3" t="s">
        <v>29</v>
      </c>
      <c r="C48" s="3" t="s">
        <v>196</v>
      </c>
      <c r="D48" s="3" t="s">
        <v>102</v>
      </c>
      <c r="E48" s="3" t="s">
        <v>197</v>
      </c>
      <c r="F48" s="3" t="s">
        <v>61</v>
      </c>
      <c r="G48" s="3" t="s">
        <v>61</v>
      </c>
      <c r="H48" s="8" t="n">
        <v>1.25</v>
      </c>
      <c r="I48" s="8" t="n">
        <v>1.15</v>
      </c>
      <c r="J48" s="8" t="n">
        <v>1.35</v>
      </c>
      <c r="K48" s="8" t="n">
        <v>1.35</v>
      </c>
      <c r="L48" s="8" t="n">
        <v>1</v>
      </c>
      <c r="M48" s="8" t="n">
        <v>1.05</v>
      </c>
      <c r="N48" s="8" t="n">
        <v>1.65</v>
      </c>
      <c r="O48" s="8" t="n">
        <f aca="false">H48*Methodology!$E$4+I48*Methodology!$E$5+J48*Methodology!$E$6+K48*Methodology!$E$7+L48*Methodology!$E$8+M48*Methodology!$E$9+N48*Methodology!$E$10</f>
        <v>1.2375</v>
      </c>
      <c r="P48" s="8" t="n">
        <f aca="false">1+(O48*2.25)</f>
        <v>3.784375</v>
      </c>
      <c r="Q48" s="7" t="n">
        <f aca="false">ROUND(P48,0)</f>
        <v>4</v>
      </c>
      <c r="R48" s="3" t="s">
        <v>198</v>
      </c>
    </row>
    <row r="49" customFormat="false" ht="23.25" hidden="false" customHeight="true" outlineLevel="0" collapsed="false">
      <c r="A49" s="7" t="n">
        <v>4</v>
      </c>
      <c r="B49" s="3" t="s">
        <v>29</v>
      </c>
      <c r="C49" s="3" t="s">
        <v>199</v>
      </c>
      <c r="D49" s="3" t="s">
        <v>129</v>
      </c>
      <c r="E49" s="3" t="s">
        <v>200</v>
      </c>
      <c r="F49" s="3" t="s">
        <v>61</v>
      </c>
      <c r="G49" s="3" t="s">
        <v>61</v>
      </c>
      <c r="H49" s="8" t="n">
        <v>1.25</v>
      </c>
      <c r="I49" s="8" t="n">
        <v>1.15</v>
      </c>
      <c r="J49" s="8" t="n">
        <v>1.3</v>
      </c>
      <c r="K49" s="8" t="n">
        <v>1.35</v>
      </c>
      <c r="L49" s="8" t="n">
        <v>0.9</v>
      </c>
      <c r="M49" s="8" t="n">
        <v>1.05</v>
      </c>
      <c r="N49" s="8" t="n">
        <v>1.45</v>
      </c>
      <c r="O49" s="8" t="n">
        <f aca="false">H49*Methodology!$E$4+I49*Methodology!$E$5+J49*Methodology!$E$6+K49*Methodology!$E$7+L49*Methodology!$E$8+M49*Methodology!$E$9+N49*Methodology!$E$10</f>
        <v>1.195</v>
      </c>
      <c r="P49" s="8" t="n">
        <f aca="false">1+(O49*2.25)</f>
        <v>3.68875</v>
      </c>
      <c r="Q49" s="7" t="n">
        <f aca="false">ROUND(P49,0)</f>
        <v>4</v>
      </c>
      <c r="R49" s="3" t="s">
        <v>201</v>
      </c>
    </row>
    <row r="50" customFormat="false" ht="23.25" hidden="false" customHeight="true" outlineLevel="0" collapsed="false">
      <c r="A50" s="7" t="n">
        <v>4</v>
      </c>
      <c r="B50" s="3" t="s">
        <v>29</v>
      </c>
      <c r="C50" s="3" t="s">
        <v>202</v>
      </c>
      <c r="D50" s="3" t="s">
        <v>151</v>
      </c>
      <c r="E50" s="3" t="s">
        <v>203</v>
      </c>
      <c r="F50" s="3" t="s">
        <v>61</v>
      </c>
      <c r="G50" s="3" t="s">
        <v>61</v>
      </c>
      <c r="H50" s="8" t="n">
        <v>1.25</v>
      </c>
      <c r="I50" s="8" t="n">
        <v>1.15</v>
      </c>
      <c r="J50" s="8" t="n">
        <v>1.2</v>
      </c>
      <c r="K50" s="8" t="n">
        <v>1.55</v>
      </c>
      <c r="L50" s="8" t="n">
        <v>1</v>
      </c>
      <c r="M50" s="8" t="n">
        <v>1.05</v>
      </c>
      <c r="N50" s="8" t="n">
        <v>1.6</v>
      </c>
      <c r="O50" s="8" t="n">
        <f aca="false">H50*Methodology!$E$4+I50*Methodology!$E$5+J50*Methodology!$E$6+K50*Methodology!$E$7+L50*Methodology!$E$8+M50*Methodology!$E$9+N50*Methodology!$E$10</f>
        <v>1.24</v>
      </c>
      <c r="P50" s="8" t="n">
        <f aca="false">1+(O50*2.25)</f>
        <v>3.79</v>
      </c>
      <c r="Q50" s="7" t="n">
        <f aca="false">ROUND(P50,0)</f>
        <v>4</v>
      </c>
      <c r="R50" s="3" t="s">
        <v>204</v>
      </c>
    </row>
    <row r="51" customFormat="false" ht="23.25" hidden="false" customHeight="true" outlineLevel="0" collapsed="false">
      <c r="A51" s="7" t="n">
        <v>4</v>
      </c>
      <c r="B51" s="3" t="s">
        <v>29</v>
      </c>
      <c r="C51" s="3" t="s">
        <v>205</v>
      </c>
      <c r="D51" s="3" t="s">
        <v>113</v>
      </c>
      <c r="E51" s="3" t="s">
        <v>114</v>
      </c>
      <c r="F51" s="3" t="s">
        <v>61</v>
      </c>
      <c r="G51" s="3" t="s">
        <v>61</v>
      </c>
      <c r="H51" s="8" t="n">
        <v>1.25</v>
      </c>
      <c r="I51" s="8" t="n">
        <v>1.15</v>
      </c>
      <c r="J51" s="8" t="n">
        <v>1.3</v>
      </c>
      <c r="K51" s="8" t="n">
        <v>1.6</v>
      </c>
      <c r="L51" s="8" t="n">
        <v>1</v>
      </c>
      <c r="M51" s="8" t="n">
        <v>1.05</v>
      </c>
      <c r="N51" s="8" t="n">
        <v>1.45</v>
      </c>
      <c r="O51" s="8" t="n">
        <f aca="false">H51*Methodology!$E$4+I51*Methodology!$E$5+J51*Methodology!$E$6+K51*Methodology!$E$7+L51*Methodology!$E$8+M51*Methodology!$E$9+N51*Methodology!$E$10</f>
        <v>1.2475</v>
      </c>
      <c r="P51" s="8" t="n">
        <f aca="false">1+(O51*2.25)</f>
        <v>3.806875</v>
      </c>
      <c r="Q51" s="7" t="n">
        <f aca="false">ROUND(P51,0)</f>
        <v>4</v>
      </c>
      <c r="R51" s="3" t="s">
        <v>206</v>
      </c>
    </row>
    <row r="52" customFormat="false" ht="23.25" hidden="false" customHeight="true" outlineLevel="0" collapsed="false">
      <c r="A52" s="7" t="n">
        <v>4</v>
      </c>
      <c r="B52" s="3" t="s">
        <v>29</v>
      </c>
      <c r="C52" s="3" t="s">
        <v>207</v>
      </c>
      <c r="D52" s="3" t="s">
        <v>208</v>
      </c>
      <c r="E52" s="3" t="s">
        <v>209</v>
      </c>
      <c r="F52" s="3" t="s">
        <v>61</v>
      </c>
      <c r="G52" s="3" t="s">
        <v>61</v>
      </c>
      <c r="H52" s="8" t="n">
        <v>1.4</v>
      </c>
      <c r="I52" s="8" t="n">
        <v>1.15</v>
      </c>
      <c r="J52" s="8" t="n">
        <v>1.2</v>
      </c>
      <c r="K52" s="8" t="n">
        <v>1.35</v>
      </c>
      <c r="L52" s="8" t="n">
        <v>1</v>
      </c>
      <c r="M52" s="8" t="n">
        <v>1.05</v>
      </c>
      <c r="N52" s="8" t="n">
        <v>1.6</v>
      </c>
      <c r="O52" s="8" t="n">
        <f aca="false">H52*Methodology!$E$4+I52*Methodology!$E$5+J52*Methodology!$E$6+K52*Methodology!$E$7+L52*Methodology!$E$8+M52*Methodology!$E$9+N52*Methodology!$E$10</f>
        <v>1.2325</v>
      </c>
      <c r="P52" s="8" t="n">
        <f aca="false">1+(O52*2.25)</f>
        <v>3.773125</v>
      </c>
      <c r="Q52" s="7" t="n">
        <f aca="false">ROUND(P52,0)</f>
        <v>4</v>
      </c>
      <c r="R52" s="3" t="s">
        <v>210</v>
      </c>
    </row>
    <row r="53" customFormat="false" ht="23.25" hidden="false" customHeight="true" outlineLevel="0" collapsed="false">
      <c r="A53" s="7" t="n">
        <v>4</v>
      </c>
      <c r="B53" s="3" t="s">
        <v>29</v>
      </c>
      <c r="C53" s="3" t="s">
        <v>211</v>
      </c>
      <c r="D53" s="3" t="s">
        <v>59</v>
      </c>
      <c r="E53" s="3" t="s">
        <v>60</v>
      </c>
      <c r="F53" s="3" t="s">
        <v>61</v>
      </c>
      <c r="G53" s="3" t="s">
        <v>61</v>
      </c>
      <c r="H53" s="8" t="n">
        <v>1.25</v>
      </c>
      <c r="I53" s="8" t="n">
        <v>1.15</v>
      </c>
      <c r="J53" s="8" t="n">
        <v>1.35</v>
      </c>
      <c r="K53" s="8" t="n">
        <v>1.35</v>
      </c>
      <c r="L53" s="8" t="n">
        <v>1</v>
      </c>
      <c r="M53" s="8" t="n">
        <v>1.05</v>
      </c>
      <c r="N53" s="8" t="n">
        <v>1.65</v>
      </c>
      <c r="O53" s="8" t="n">
        <f aca="false">H53*Methodology!$E$4+I53*Methodology!$E$5+J53*Methodology!$E$6+K53*Methodology!$E$7+L53*Methodology!$E$8+M53*Methodology!$E$9+N53*Methodology!$E$10</f>
        <v>1.2375</v>
      </c>
      <c r="P53" s="8" t="n">
        <f aca="false">1+(O53*2.25)</f>
        <v>3.784375</v>
      </c>
      <c r="Q53" s="7" t="n">
        <f aca="false">ROUND(P53,0)</f>
        <v>4</v>
      </c>
      <c r="R53" s="3" t="s">
        <v>212</v>
      </c>
    </row>
    <row r="54" customFormat="false" ht="23.25" hidden="false" customHeight="true" outlineLevel="0" collapsed="false">
      <c r="A54" s="7" t="n">
        <v>5</v>
      </c>
      <c r="B54" s="3" t="s">
        <v>30</v>
      </c>
      <c r="C54" s="3" t="s">
        <v>213</v>
      </c>
      <c r="D54" s="3" t="s">
        <v>151</v>
      </c>
      <c r="E54" s="3" t="s">
        <v>214</v>
      </c>
      <c r="F54" s="3" t="s">
        <v>61</v>
      </c>
      <c r="G54" s="3" t="s">
        <v>61</v>
      </c>
      <c r="H54" s="8" t="n">
        <v>1.85</v>
      </c>
      <c r="I54" s="8" t="n">
        <v>1.6</v>
      </c>
      <c r="J54" s="8" t="n">
        <v>1.85</v>
      </c>
      <c r="K54" s="8" t="n">
        <v>1.85</v>
      </c>
      <c r="L54" s="8" t="n">
        <v>1.45</v>
      </c>
      <c r="M54" s="8" t="n">
        <v>1.5</v>
      </c>
      <c r="N54" s="8" t="n">
        <v>2.05</v>
      </c>
      <c r="O54" s="8" t="n">
        <f aca="false">H54*Methodology!$E$4+I54*Methodology!$E$5+J54*Methodology!$E$6+K54*Methodology!$E$7+L54*Methodology!$E$8+M54*Methodology!$E$9+N54*Methodology!$E$10</f>
        <v>1.72</v>
      </c>
      <c r="P54" s="8" t="n">
        <f aca="false">1+(O54*2.25)</f>
        <v>4.87</v>
      </c>
      <c r="Q54" s="7" t="n">
        <f aca="false">ROUND(P54,0)</f>
        <v>5</v>
      </c>
      <c r="R54" s="3" t="s">
        <v>215</v>
      </c>
    </row>
    <row r="55" customFormat="false" ht="23.25" hidden="false" customHeight="true" outlineLevel="0" collapsed="false">
      <c r="A55" s="7" t="n">
        <v>5</v>
      </c>
      <c r="B55" s="3" t="s">
        <v>30</v>
      </c>
      <c r="C55" s="3" t="s">
        <v>216</v>
      </c>
      <c r="D55" s="3" t="s">
        <v>59</v>
      </c>
      <c r="E55" s="3" t="s">
        <v>217</v>
      </c>
      <c r="F55" s="3" t="s">
        <v>61</v>
      </c>
      <c r="G55" s="3" t="s">
        <v>61</v>
      </c>
      <c r="H55" s="8" t="n">
        <v>1.85</v>
      </c>
      <c r="I55" s="8" t="n">
        <v>1.6</v>
      </c>
      <c r="J55" s="8" t="n">
        <v>1.65</v>
      </c>
      <c r="K55" s="8" t="n">
        <v>1.85</v>
      </c>
      <c r="L55" s="8" t="n">
        <v>1.45</v>
      </c>
      <c r="M55" s="8" t="n">
        <v>1.5</v>
      </c>
      <c r="N55" s="8" t="n">
        <v>2.15</v>
      </c>
      <c r="O55" s="8" t="n">
        <f aca="false">H55*Methodology!$E$4+I55*Methodology!$E$5+J55*Methodology!$E$6+K55*Methodology!$E$7+L55*Methodology!$E$8+M55*Methodology!$E$9+N55*Methodology!$E$10</f>
        <v>1.7</v>
      </c>
      <c r="P55" s="8" t="n">
        <f aca="false">1+(O55*2.25)</f>
        <v>4.825</v>
      </c>
      <c r="Q55" s="7" t="n">
        <f aca="false">ROUND(P55,0)</f>
        <v>5</v>
      </c>
      <c r="R55" s="3" t="s">
        <v>218</v>
      </c>
    </row>
    <row r="56" customFormat="false" ht="23.25" hidden="false" customHeight="true" outlineLevel="0" collapsed="false">
      <c r="A56" s="7" t="n">
        <v>5</v>
      </c>
      <c r="B56" s="3" t="s">
        <v>30</v>
      </c>
      <c r="C56" s="3" t="s">
        <v>219</v>
      </c>
      <c r="D56" s="3" t="s">
        <v>139</v>
      </c>
      <c r="E56" s="3" t="s">
        <v>103</v>
      </c>
      <c r="F56" s="3" t="s">
        <v>61</v>
      </c>
      <c r="G56" s="3" t="s">
        <v>61</v>
      </c>
      <c r="H56" s="8" t="n">
        <v>2</v>
      </c>
      <c r="I56" s="8" t="n">
        <v>1.6</v>
      </c>
      <c r="J56" s="8" t="n">
        <v>1.65</v>
      </c>
      <c r="K56" s="8" t="n">
        <v>1.85</v>
      </c>
      <c r="L56" s="8" t="n">
        <v>1.45</v>
      </c>
      <c r="M56" s="8" t="n">
        <v>1.5</v>
      </c>
      <c r="N56" s="8" t="n">
        <v>2.25</v>
      </c>
      <c r="O56" s="8" t="n">
        <f aca="false">H56*Methodology!$E$4+I56*Methodology!$E$5+J56*Methodology!$E$6+K56*Methodology!$E$7+L56*Methodology!$E$8+M56*Methodology!$E$9+N56*Methodology!$E$10</f>
        <v>1.7325</v>
      </c>
      <c r="P56" s="8" t="n">
        <f aca="false">1+(O56*2.25)</f>
        <v>4.898125</v>
      </c>
      <c r="Q56" s="7" t="n">
        <f aca="false">ROUND(P56,0)</f>
        <v>5</v>
      </c>
      <c r="R56" s="3" t="s">
        <v>220</v>
      </c>
    </row>
    <row r="57" customFormat="false" ht="23.25" hidden="false" customHeight="true" outlineLevel="0" collapsed="false">
      <c r="A57" s="7" t="n">
        <v>5</v>
      </c>
      <c r="B57" s="3" t="s">
        <v>30</v>
      </c>
      <c r="C57" s="3" t="s">
        <v>221</v>
      </c>
      <c r="D57" s="3" t="s">
        <v>222</v>
      </c>
      <c r="E57" s="3" t="s">
        <v>169</v>
      </c>
      <c r="F57" s="3" t="s">
        <v>61</v>
      </c>
      <c r="G57" s="3" t="s">
        <v>61</v>
      </c>
      <c r="H57" s="8" t="n">
        <v>1.7</v>
      </c>
      <c r="I57" s="8" t="n">
        <v>1.6</v>
      </c>
      <c r="J57" s="8" t="n">
        <v>1.65</v>
      </c>
      <c r="K57" s="8" t="n">
        <v>2.15</v>
      </c>
      <c r="L57" s="8" t="n">
        <v>1.45</v>
      </c>
      <c r="M57" s="8" t="n">
        <v>1.5</v>
      </c>
      <c r="N57" s="8" t="n">
        <v>2.3</v>
      </c>
      <c r="O57" s="8" t="n">
        <f aca="false">H57*Methodology!$E$4+I57*Methodology!$E$5+J57*Methodology!$E$6+K57*Methodology!$E$7+L57*Methodology!$E$8+M57*Methodology!$E$9+N57*Methodology!$E$10</f>
        <v>1.7375</v>
      </c>
      <c r="P57" s="8" t="n">
        <f aca="false">1+(O57*2.25)</f>
        <v>4.909375</v>
      </c>
      <c r="Q57" s="7" t="n">
        <f aca="false">ROUND(P57,0)</f>
        <v>5</v>
      </c>
      <c r="R57" s="3" t="s">
        <v>223</v>
      </c>
    </row>
    <row r="58" customFormat="false" ht="23.25" hidden="false" customHeight="true" outlineLevel="0" collapsed="false">
      <c r="A58" s="7" t="n">
        <v>5</v>
      </c>
      <c r="B58" s="3" t="s">
        <v>30</v>
      </c>
      <c r="C58" s="3" t="s">
        <v>224</v>
      </c>
      <c r="D58" s="3" t="s">
        <v>139</v>
      </c>
      <c r="E58" s="3" t="s">
        <v>103</v>
      </c>
      <c r="F58" s="3" t="s">
        <v>61</v>
      </c>
      <c r="G58" s="3" t="s">
        <v>61</v>
      </c>
      <c r="H58" s="8" t="n">
        <v>1.9</v>
      </c>
      <c r="I58" s="8" t="n">
        <v>1.6</v>
      </c>
      <c r="J58" s="8" t="n">
        <v>1.65</v>
      </c>
      <c r="K58" s="8" t="n">
        <v>2.05</v>
      </c>
      <c r="L58" s="8" t="n">
        <v>1.45</v>
      </c>
      <c r="M58" s="8" t="n">
        <v>1.5</v>
      </c>
      <c r="N58" s="8" t="n">
        <v>2.05</v>
      </c>
      <c r="O58" s="8" t="n">
        <f aca="false">H58*Methodology!$E$4+I58*Methodology!$E$5+J58*Methodology!$E$6+K58*Methodology!$E$7+L58*Methodology!$E$8+M58*Methodology!$E$9+N58*Methodology!$E$10</f>
        <v>1.7275</v>
      </c>
      <c r="P58" s="8" t="n">
        <f aca="false">1+(O58*2.25)</f>
        <v>4.886875</v>
      </c>
      <c r="Q58" s="7" t="n">
        <f aca="false">ROUND(P58,0)</f>
        <v>5</v>
      </c>
      <c r="R58" s="3" t="s">
        <v>225</v>
      </c>
    </row>
    <row r="59" customFormat="false" ht="23.25" hidden="false" customHeight="true" outlineLevel="0" collapsed="false">
      <c r="A59" s="7" t="n">
        <v>5</v>
      </c>
      <c r="B59" s="3" t="s">
        <v>30</v>
      </c>
      <c r="C59" s="3" t="s">
        <v>226</v>
      </c>
      <c r="D59" s="3" t="s">
        <v>139</v>
      </c>
      <c r="E59" s="3" t="s">
        <v>173</v>
      </c>
      <c r="F59" s="3" t="s">
        <v>61</v>
      </c>
      <c r="G59" s="3" t="s">
        <v>61</v>
      </c>
      <c r="H59" s="8" t="n">
        <v>1.95</v>
      </c>
      <c r="I59" s="8" t="n">
        <v>1.6</v>
      </c>
      <c r="J59" s="8" t="n">
        <v>1.65</v>
      </c>
      <c r="K59" s="8" t="n">
        <v>1.85</v>
      </c>
      <c r="L59" s="8" t="n">
        <v>1.45</v>
      </c>
      <c r="M59" s="8" t="n">
        <v>1.5</v>
      </c>
      <c r="N59" s="8" t="n">
        <v>2.25</v>
      </c>
      <c r="O59" s="8" t="n">
        <f aca="false">H59*Methodology!$E$4+I59*Methodology!$E$5+J59*Methodology!$E$6+K59*Methodology!$E$7+L59*Methodology!$E$8+M59*Methodology!$E$9+N59*Methodology!$E$10</f>
        <v>1.725</v>
      </c>
      <c r="P59" s="8" t="n">
        <f aca="false">1+(O59*2.25)</f>
        <v>4.88125</v>
      </c>
      <c r="Q59" s="7" t="n">
        <f aca="false">ROUND(P59,0)</f>
        <v>5</v>
      </c>
      <c r="R59" s="3" t="s">
        <v>227</v>
      </c>
    </row>
    <row r="60" customFormat="false" ht="23.25" hidden="false" customHeight="true" outlineLevel="0" collapsed="false">
      <c r="A60" s="7" t="n">
        <v>5</v>
      </c>
      <c r="B60" s="3" t="s">
        <v>30</v>
      </c>
      <c r="C60" s="3" t="s">
        <v>228</v>
      </c>
      <c r="D60" s="3" t="s">
        <v>229</v>
      </c>
      <c r="E60" s="3" t="s">
        <v>230</v>
      </c>
      <c r="F60" s="3" t="s">
        <v>61</v>
      </c>
      <c r="G60" s="3" t="s">
        <v>61</v>
      </c>
      <c r="H60" s="8" t="n">
        <v>1.95</v>
      </c>
      <c r="I60" s="8" t="n">
        <v>1.6</v>
      </c>
      <c r="J60" s="8" t="n">
        <v>1.65</v>
      </c>
      <c r="K60" s="8" t="n">
        <v>1.85</v>
      </c>
      <c r="L60" s="8" t="n">
        <v>1.65</v>
      </c>
      <c r="M60" s="8" t="n">
        <v>1.5</v>
      </c>
      <c r="N60" s="8" t="n">
        <v>2.25</v>
      </c>
      <c r="O60" s="8" t="n">
        <f aca="false">H60*Methodology!$E$4+I60*Methodology!$E$5+J60*Methodology!$E$6+K60*Methodology!$E$7+L60*Methodology!$E$8+M60*Methodology!$E$9+N60*Methodology!$E$10</f>
        <v>1.755</v>
      </c>
      <c r="P60" s="8" t="n">
        <f aca="false">1+(O60*2.25)</f>
        <v>4.94875</v>
      </c>
      <c r="Q60" s="7" t="n">
        <f aca="false">ROUND(P60,0)</f>
        <v>5</v>
      </c>
      <c r="R60" s="3" t="s">
        <v>231</v>
      </c>
    </row>
    <row r="61" customFormat="false" ht="23.25" hidden="false" customHeight="true" outlineLevel="0" collapsed="false">
      <c r="A61" s="7" t="n">
        <v>5</v>
      </c>
      <c r="B61" s="3" t="s">
        <v>30</v>
      </c>
      <c r="C61" s="3" t="s">
        <v>232</v>
      </c>
      <c r="D61" s="3" t="s">
        <v>106</v>
      </c>
      <c r="E61" s="3" t="s">
        <v>233</v>
      </c>
      <c r="F61" s="3" t="s">
        <v>61</v>
      </c>
      <c r="G61" s="3" t="s">
        <v>61</v>
      </c>
      <c r="H61" s="8" t="n">
        <v>1.9</v>
      </c>
      <c r="I61" s="8" t="n">
        <v>1.75</v>
      </c>
      <c r="J61" s="8" t="n">
        <v>1.65</v>
      </c>
      <c r="K61" s="8" t="n">
        <v>1.85</v>
      </c>
      <c r="L61" s="8" t="n">
        <v>1.45</v>
      </c>
      <c r="M61" s="8" t="n">
        <v>1.5</v>
      </c>
      <c r="N61" s="8" t="n">
        <v>2.05</v>
      </c>
      <c r="O61" s="8" t="n">
        <f aca="false">H61*Methodology!$E$4+I61*Methodology!$E$5+J61*Methodology!$E$6+K61*Methodology!$E$7+L61*Methodology!$E$8+M61*Methodology!$E$9+N61*Methodology!$E$10</f>
        <v>1.72</v>
      </c>
      <c r="P61" s="8" t="n">
        <f aca="false">1+(O61*2.25)</f>
        <v>4.87</v>
      </c>
      <c r="Q61" s="7" t="n">
        <f aca="false">ROUND(P61,0)</f>
        <v>5</v>
      </c>
      <c r="R61" s="3" t="s">
        <v>234</v>
      </c>
    </row>
    <row r="62" customFormat="false" ht="23.25" hidden="false" customHeight="true" outlineLevel="0" collapsed="false">
      <c r="A62" s="7" t="n">
        <v>5</v>
      </c>
      <c r="B62" s="3" t="s">
        <v>30</v>
      </c>
      <c r="C62" s="3" t="s">
        <v>235</v>
      </c>
      <c r="D62" s="3" t="s">
        <v>139</v>
      </c>
      <c r="E62" s="3" t="s">
        <v>236</v>
      </c>
      <c r="F62" s="3" t="s">
        <v>61</v>
      </c>
      <c r="G62" s="3" t="s">
        <v>61</v>
      </c>
      <c r="H62" s="8" t="n">
        <v>1.7</v>
      </c>
      <c r="I62" s="8" t="n">
        <v>1.6</v>
      </c>
      <c r="J62" s="8" t="n">
        <v>1.8</v>
      </c>
      <c r="K62" s="8" t="n">
        <v>2.05</v>
      </c>
      <c r="L62" s="8" t="n">
        <v>1.45</v>
      </c>
      <c r="M62" s="8" t="n">
        <v>1.5</v>
      </c>
      <c r="N62" s="8" t="n">
        <v>2.05</v>
      </c>
      <c r="O62" s="8" t="n">
        <f aca="false">H62*Methodology!$E$4+I62*Methodology!$E$5+J62*Methodology!$E$6+K62*Methodology!$E$7+L62*Methodology!$E$8+M62*Methodology!$E$9+N62*Methodology!$E$10</f>
        <v>1.72</v>
      </c>
      <c r="P62" s="8" t="n">
        <f aca="false">1+(O62*2.25)</f>
        <v>4.87</v>
      </c>
      <c r="Q62" s="7" t="n">
        <f aca="false">ROUND(P62,0)</f>
        <v>5</v>
      </c>
      <c r="R62" s="3" t="s">
        <v>237</v>
      </c>
    </row>
    <row r="63" customFormat="false" ht="23.25" hidden="false" customHeight="true" outlineLevel="0" collapsed="false">
      <c r="A63" s="7" t="n">
        <v>6</v>
      </c>
      <c r="B63" s="3" t="s">
        <v>31</v>
      </c>
      <c r="C63" s="3" t="s">
        <v>238</v>
      </c>
      <c r="D63" s="3" t="s">
        <v>129</v>
      </c>
      <c r="E63" s="3" t="s">
        <v>239</v>
      </c>
      <c r="F63" s="3" t="s">
        <v>61</v>
      </c>
      <c r="G63" s="3" t="s">
        <v>61</v>
      </c>
      <c r="H63" s="8" t="n">
        <v>2.4</v>
      </c>
      <c r="I63" s="8" t="n">
        <v>2.1</v>
      </c>
      <c r="J63" s="8" t="n">
        <v>2.15</v>
      </c>
      <c r="K63" s="8" t="n">
        <v>2.3</v>
      </c>
      <c r="L63" s="8" t="n">
        <v>2</v>
      </c>
      <c r="M63" s="8" t="n">
        <v>2.05</v>
      </c>
      <c r="N63" s="8" t="n">
        <v>2.9</v>
      </c>
      <c r="O63" s="8" t="n">
        <f aca="false">H63*Methodology!$E$4+I63*Methodology!$E$5+J63*Methodology!$E$6+K63*Methodology!$E$7+L63*Methodology!$E$8+M63*Methodology!$E$9+N63*Methodology!$E$10</f>
        <v>2.24</v>
      </c>
      <c r="P63" s="8" t="n">
        <f aca="false">1+(O63*2.25)</f>
        <v>6.04</v>
      </c>
      <c r="Q63" s="7" t="n">
        <f aca="false">ROUND(P63,0)</f>
        <v>6</v>
      </c>
      <c r="R63" s="3" t="s">
        <v>240</v>
      </c>
    </row>
    <row r="64" customFormat="false" ht="23.25" hidden="false" customHeight="true" outlineLevel="0" collapsed="false">
      <c r="A64" s="7" t="n">
        <v>6</v>
      </c>
      <c r="B64" s="3" t="s">
        <v>31</v>
      </c>
      <c r="C64" s="3" t="s">
        <v>241</v>
      </c>
      <c r="D64" s="3" t="s">
        <v>139</v>
      </c>
      <c r="E64" s="3" t="s">
        <v>173</v>
      </c>
      <c r="F64" s="3" t="s">
        <v>61</v>
      </c>
      <c r="G64" s="3" t="s">
        <v>61</v>
      </c>
      <c r="H64" s="8" t="n">
        <v>2.2</v>
      </c>
      <c r="I64" s="8" t="n">
        <v>2.1</v>
      </c>
      <c r="J64" s="8" t="n">
        <v>2.15</v>
      </c>
      <c r="K64" s="8" t="n">
        <v>2.6</v>
      </c>
      <c r="L64" s="8" t="n">
        <v>2</v>
      </c>
      <c r="M64" s="8" t="n">
        <v>2.05</v>
      </c>
      <c r="N64" s="8" t="n">
        <v>2.85</v>
      </c>
      <c r="O64" s="8" t="n">
        <f aca="false">H64*Methodology!$E$4+I64*Methodology!$E$5+J64*Methodology!$E$6+K64*Methodology!$E$7+L64*Methodology!$E$8+M64*Methodology!$E$9+N64*Methodology!$E$10</f>
        <v>2.25</v>
      </c>
      <c r="P64" s="8" t="n">
        <f aca="false">1+(O64*2.25)</f>
        <v>6.0625</v>
      </c>
      <c r="Q64" s="7" t="n">
        <f aca="false">ROUND(P64,0)</f>
        <v>6</v>
      </c>
      <c r="R64" s="3" t="s">
        <v>242</v>
      </c>
    </row>
    <row r="65" customFormat="false" ht="23.25" hidden="false" customHeight="true" outlineLevel="0" collapsed="false">
      <c r="A65" s="7" t="n">
        <v>6</v>
      </c>
      <c r="B65" s="3" t="s">
        <v>31</v>
      </c>
      <c r="C65" s="3" t="s">
        <v>243</v>
      </c>
      <c r="D65" s="3" t="s">
        <v>244</v>
      </c>
      <c r="E65" s="3" t="s">
        <v>245</v>
      </c>
      <c r="F65" s="3" t="s">
        <v>61</v>
      </c>
      <c r="G65" s="3" t="s">
        <v>61</v>
      </c>
      <c r="H65" s="8" t="n">
        <v>2.2</v>
      </c>
      <c r="I65" s="8" t="n">
        <v>2</v>
      </c>
      <c r="J65" s="8" t="n">
        <v>2.15</v>
      </c>
      <c r="K65" s="8" t="n">
        <v>2.3</v>
      </c>
      <c r="L65" s="8" t="n">
        <v>2</v>
      </c>
      <c r="M65" s="8" t="n">
        <v>2.05</v>
      </c>
      <c r="N65" s="8" t="n">
        <v>3</v>
      </c>
      <c r="O65" s="8" t="n">
        <f aca="false">H65*Methodology!$E$4+I65*Methodology!$E$5+J65*Methodology!$E$6+K65*Methodology!$E$7+L65*Methodology!$E$8+M65*Methodology!$E$9+N65*Methodology!$E$10</f>
        <v>2.205</v>
      </c>
      <c r="P65" s="8" t="n">
        <f aca="false">1+(O65*2.25)</f>
        <v>5.96125</v>
      </c>
      <c r="Q65" s="7" t="n">
        <f aca="false">ROUND(P65,0)</f>
        <v>6</v>
      </c>
      <c r="R65" s="3" t="s">
        <v>246</v>
      </c>
    </row>
    <row r="66" customFormat="false" ht="23.25" hidden="false" customHeight="true" outlineLevel="0" collapsed="false">
      <c r="A66" s="7" t="n">
        <v>6</v>
      </c>
      <c r="B66" s="3" t="s">
        <v>31</v>
      </c>
      <c r="C66" s="3" t="s">
        <v>247</v>
      </c>
      <c r="D66" s="3" t="s">
        <v>129</v>
      </c>
      <c r="E66" s="3" t="s">
        <v>248</v>
      </c>
      <c r="F66" s="3" t="s">
        <v>61</v>
      </c>
      <c r="G66" s="3" t="s">
        <v>61</v>
      </c>
      <c r="H66" s="8" t="n">
        <v>2.35</v>
      </c>
      <c r="I66" s="8" t="n">
        <v>2.1</v>
      </c>
      <c r="J66" s="8" t="n">
        <v>2.15</v>
      </c>
      <c r="K66" s="8" t="n">
        <v>2.3</v>
      </c>
      <c r="L66" s="8" t="n">
        <v>2</v>
      </c>
      <c r="M66" s="8" t="n">
        <v>2.05</v>
      </c>
      <c r="N66" s="8" t="n">
        <v>3.05</v>
      </c>
      <c r="O66" s="8" t="n">
        <f aca="false">H66*Methodology!$E$4+I66*Methodology!$E$5+J66*Methodology!$E$6+K66*Methodology!$E$7+L66*Methodology!$E$8+M66*Methodology!$E$9+N66*Methodology!$E$10</f>
        <v>2.2475</v>
      </c>
      <c r="P66" s="8" t="n">
        <f aca="false">1+(O66*2.25)</f>
        <v>6.056875</v>
      </c>
      <c r="Q66" s="7" t="n">
        <f aca="false">ROUND(P66,0)</f>
        <v>6</v>
      </c>
      <c r="R66" s="3" t="s">
        <v>249</v>
      </c>
    </row>
    <row r="67" customFormat="false" ht="23.25" hidden="false" customHeight="true" outlineLevel="0" collapsed="false">
      <c r="A67" s="7" t="n">
        <v>6</v>
      </c>
      <c r="B67" s="3" t="s">
        <v>31</v>
      </c>
      <c r="C67" s="3" t="s">
        <v>250</v>
      </c>
      <c r="D67" s="3" t="s">
        <v>251</v>
      </c>
      <c r="E67" s="3" t="s">
        <v>252</v>
      </c>
      <c r="F67" s="3" t="s">
        <v>61</v>
      </c>
      <c r="G67" s="3" t="s">
        <v>61</v>
      </c>
      <c r="H67" s="8" t="n">
        <v>2.2</v>
      </c>
      <c r="I67" s="8" t="n">
        <v>2.1</v>
      </c>
      <c r="J67" s="8" t="n">
        <v>2.45</v>
      </c>
      <c r="K67" s="8" t="n">
        <v>2.55</v>
      </c>
      <c r="L67" s="8" t="n">
        <v>2</v>
      </c>
      <c r="M67" s="8" t="n">
        <v>2.05</v>
      </c>
      <c r="N67" s="8" t="n">
        <v>2.65</v>
      </c>
      <c r="O67" s="8" t="n">
        <f aca="false">H67*Methodology!$E$4+I67*Methodology!$E$5+J67*Methodology!$E$6+K67*Methodology!$E$7+L67*Methodology!$E$8+M67*Methodology!$E$9+N67*Methodology!$E$10</f>
        <v>2.2675</v>
      </c>
      <c r="P67" s="8" t="n">
        <f aca="false">1+(O67*2.25)</f>
        <v>6.101875</v>
      </c>
      <c r="Q67" s="7" t="n">
        <f aca="false">ROUND(P67,0)</f>
        <v>6</v>
      </c>
      <c r="R67" s="3" t="s">
        <v>253</v>
      </c>
    </row>
    <row r="68" customFormat="false" ht="23.25" hidden="false" customHeight="true" outlineLevel="0" collapsed="false">
      <c r="A68" s="7" t="n">
        <v>7</v>
      </c>
      <c r="B68" s="3" t="s">
        <v>32</v>
      </c>
      <c r="C68" s="3" t="s">
        <v>254</v>
      </c>
      <c r="D68" s="3" t="s">
        <v>255</v>
      </c>
      <c r="E68" s="3" t="s">
        <v>256</v>
      </c>
      <c r="F68" s="3" t="s">
        <v>61</v>
      </c>
      <c r="G68" s="3" t="s">
        <v>61</v>
      </c>
      <c r="H68" s="8" t="n">
        <v>2.95</v>
      </c>
      <c r="I68" s="8" t="n">
        <v>2.65</v>
      </c>
      <c r="J68" s="8" t="n">
        <v>2.75</v>
      </c>
      <c r="K68" s="8" t="n">
        <v>2.9</v>
      </c>
      <c r="L68" s="8" t="n">
        <v>2.45</v>
      </c>
      <c r="M68" s="8" t="n">
        <v>2.6</v>
      </c>
      <c r="N68" s="8" t="n">
        <v>3.6</v>
      </c>
      <c r="O68" s="8" t="n">
        <f aca="false">H68*Methodology!$E$4+I68*Methodology!$E$5+J68*Methodology!$E$6+K68*Methodology!$E$7+L68*Methodology!$E$8+M68*Methodology!$E$9+N68*Methodology!$E$10</f>
        <v>2.805</v>
      </c>
      <c r="P68" s="8" t="n">
        <f aca="false">1+(O68*2.25)</f>
        <v>7.31125</v>
      </c>
      <c r="Q68" s="7" t="n">
        <f aca="false">ROUND(P68,0)</f>
        <v>7</v>
      </c>
      <c r="R68" s="3" t="s">
        <v>257</v>
      </c>
    </row>
    <row r="69" customFormat="false" ht="23.25" hidden="false" customHeight="true" outlineLevel="0" collapsed="false">
      <c r="A69" s="7" t="n">
        <v>8</v>
      </c>
      <c r="B69" s="3" t="s">
        <v>33</v>
      </c>
      <c r="C69" s="3" t="s">
        <v>258</v>
      </c>
      <c r="D69" s="3" t="s">
        <v>208</v>
      </c>
      <c r="E69" s="3" t="s">
        <v>259</v>
      </c>
      <c r="F69" s="3" t="s">
        <v>61</v>
      </c>
      <c r="G69" s="3" t="s">
        <v>61</v>
      </c>
      <c r="H69" s="8" t="n">
        <v>3.2</v>
      </c>
      <c r="I69" s="8" t="n">
        <v>3.15</v>
      </c>
      <c r="J69" s="8" t="n">
        <v>3.5</v>
      </c>
      <c r="K69" s="8" t="n">
        <v>3.6</v>
      </c>
      <c r="L69" s="8" t="n">
        <v>3</v>
      </c>
      <c r="M69" s="8" t="n">
        <v>3.1</v>
      </c>
      <c r="N69" s="8" t="n">
        <v>3.7</v>
      </c>
      <c r="O69" s="8" t="n">
        <f aca="false">H69*Methodology!$E$4+I69*Methodology!$E$5+J69*Methodology!$E$6+K69*Methodology!$E$7+L69*Methodology!$E$8+M69*Methodology!$E$9+N69*Methodology!$E$10</f>
        <v>3.3025</v>
      </c>
      <c r="P69" s="8" t="n">
        <f aca="false">1+(O69*2.25)</f>
        <v>8.430625</v>
      </c>
      <c r="Q69" s="7" t="n">
        <f aca="false">ROUND(P69,0)</f>
        <v>8</v>
      </c>
      <c r="R69" s="3" t="s">
        <v>260</v>
      </c>
    </row>
    <row r="70" customFormat="false" ht="23.25" hidden="false" customHeight="true" outlineLevel="0" collapsed="false">
      <c r="A70" s="7" t="n">
        <v>8</v>
      </c>
      <c r="B70" s="3" t="s">
        <v>33</v>
      </c>
      <c r="C70" s="3" t="s">
        <v>261</v>
      </c>
      <c r="D70" s="3" t="s">
        <v>102</v>
      </c>
      <c r="E70" s="3" t="s">
        <v>262</v>
      </c>
      <c r="F70" s="3" t="s">
        <v>61</v>
      </c>
      <c r="G70" s="3" t="s">
        <v>61</v>
      </c>
      <c r="H70" s="8" t="n">
        <v>3.5</v>
      </c>
      <c r="I70" s="8" t="n">
        <v>3.15</v>
      </c>
      <c r="J70" s="8" t="n">
        <v>3.25</v>
      </c>
      <c r="K70" s="8" t="n">
        <v>3.35</v>
      </c>
      <c r="L70" s="8" t="n">
        <v>3.2</v>
      </c>
      <c r="M70" s="8" t="n">
        <v>3.1</v>
      </c>
      <c r="N70" s="8" t="n">
        <v>3.55</v>
      </c>
      <c r="O70" s="8" t="n">
        <f aca="false">H70*Methodology!$E$4+I70*Methodology!$E$5+J70*Methodology!$E$6+K70*Methodology!$E$7+L70*Methodology!$E$8+M70*Methodology!$E$9+N70*Methodology!$E$10</f>
        <v>3.2875</v>
      </c>
      <c r="P70" s="8" t="n">
        <f aca="false">1+(O70*2.25)</f>
        <v>8.396875</v>
      </c>
      <c r="Q70" s="7" t="n">
        <f aca="false">ROUND(P70,0)</f>
        <v>8</v>
      </c>
      <c r="R70" s="3" t="s">
        <v>263</v>
      </c>
    </row>
    <row r="71" customFormat="false" ht="23.25" hidden="false" customHeight="true" outlineLevel="0" collapsed="false">
      <c r="A71" s="7" t="n">
        <v>8</v>
      </c>
      <c r="B71" s="3" t="s">
        <v>33</v>
      </c>
      <c r="C71" s="3" t="s">
        <v>264</v>
      </c>
      <c r="D71" s="3" t="s">
        <v>139</v>
      </c>
      <c r="E71" s="3" t="s">
        <v>265</v>
      </c>
      <c r="F71" s="3" t="s">
        <v>61</v>
      </c>
      <c r="G71" s="3" t="s">
        <v>61</v>
      </c>
      <c r="H71" s="8" t="n">
        <v>3.2</v>
      </c>
      <c r="I71" s="8" t="n">
        <v>3.15</v>
      </c>
      <c r="J71" s="8" t="n">
        <v>3.25</v>
      </c>
      <c r="K71" s="8" t="n">
        <v>3.55</v>
      </c>
      <c r="L71" s="8" t="n">
        <v>3</v>
      </c>
      <c r="M71" s="8" t="n">
        <v>3.1</v>
      </c>
      <c r="N71" s="8" t="n">
        <v>3.65</v>
      </c>
      <c r="O71" s="8" t="n">
        <f aca="false">H71*Methodology!$E$4+I71*Methodology!$E$5+J71*Methodology!$E$6+K71*Methodology!$E$7+L71*Methodology!$E$8+M71*Methodology!$E$9+N71*Methodology!$E$10</f>
        <v>3.2525</v>
      </c>
      <c r="P71" s="8" t="n">
        <f aca="false">1+(O71*2.25)</f>
        <v>8.318125</v>
      </c>
      <c r="Q71" s="7" t="n">
        <f aca="false">ROUND(P71,0)</f>
        <v>8</v>
      </c>
      <c r="R71" s="3" t="s">
        <v>266</v>
      </c>
    </row>
    <row r="72" customFormat="false" ht="23.25" hidden="false" customHeight="true" outlineLevel="0" collapsed="false">
      <c r="A72" s="7" t="n">
        <v>8</v>
      </c>
      <c r="B72" s="3" t="s">
        <v>33</v>
      </c>
      <c r="C72" s="3" t="s">
        <v>267</v>
      </c>
      <c r="D72" s="3" t="s">
        <v>185</v>
      </c>
      <c r="E72" s="3" t="s">
        <v>268</v>
      </c>
      <c r="F72" s="3" t="s">
        <v>61</v>
      </c>
      <c r="G72" s="3" t="s">
        <v>61</v>
      </c>
      <c r="H72" s="8" t="n">
        <v>3.2</v>
      </c>
      <c r="I72" s="8" t="n">
        <v>3.15</v>
      </c>
      <c r="J72" s="8" t="n">
        <v>3.5</v>
      </c>
      <c r="K72" s="8" t="n">
        <v>3.35</v>
      </c>
      <c r="L72" s="8" t="n">
        <v>3</v>
      </c>
      <c r="M72" s="8" t="n">
        <v>3.1</v>
      </c>
      <c r="N72" s="8" t="n">
        <v>3.8</v>
      </c>
      <c r="O72" s="8" t="n">
        <f aca="false">H72*Methodology!$E$4+I72*Methodology!$E$5+J72*Methodology!$E$6+K72*Methodology!$E$7+L72*Methodology!$E$8+M72*Methodology!$E$9+N72*Methodology!$E$10</f>
        <v>3.275</v>
      </c>
      <c r="P72" s="8" t="n">
        <f aca="false">1+(O72*2.25)</f>
        <v>8.36875</v>
      </c>
      <c r="Q72" s="7" t="n">
        <f aca="false">ROUND(P72,0)</f>
        <v>8</v>
      </c>
      <c r="R72" s="3" t="s">
        <v>269</v>
      </c>
    </row>
    <row r="73" customFormat="false" ht="23.25" hidden="false" customHeight="true" outlineLevel="0" collapsed="false">
      <c r="A73" s="7" t="n">
        <v>9</v>
      </c>
      <c r="B73" s="3" t="s">
        <v>34</v>
      </c>
      <c r="C73" s="3" t="s">
        <v>270</v>
      </c>
      <c r="D73" s="3" t="s">
        <v>151</v>
      </c>
      <c r="E73" s="3" t="s">
        <v>271</v>
      </c>
      <c r="F73" s="3" t="s">
        <v>61</v>
      </c>
      <c r="G73" s="3" t="s">
        <v>61</v>
      </c>
      <c r="H73" s="8" t="n">
        <v>3.6</v>
      </c>
      <c r="I73" s="8" t="n">
        <v>3.75</v>
      </c>
      <c r="J73" s="8" t="n">
        <v>3.9</v>
      </c>
      <c r="K73" s="8" t="n">
        <v>3.75</v>
      </c>
      <c r="L73" s="8" t="n">
        <v>3.65</v>
      </c>
      <c r="M73" s="8" t="n">
        <v>3.6</v>
      </c>
      <c r="N73" s="8" t="n">
        <v>3.8</v>
      </c>
      <c r="O73" s="8" t="n">
        <f aca="false">H73*Methodology!$E$4+I73*Methodology!$E$5+J73*Methodology!$E$6+K73*Methodology!$E$7+L73*Methodology!$E$8+M73*Methodology!$E$9+N73*Methodology!$E$10</f>
        <v>3.7175</v>
      </c>
      <c r="P73" s="8" t="n">
        <f aca="false">1+(O73*2.25)</f>
        <v>9.364375</v>
      </c>
      <c r="Q73" s="7" t="n">
        <f aca="false">ROUND(P73,0)</f>
        <v>9</v>
      </c>
      <c r="R73" s="3" t="s">
        <v>272</v>
      </c>
    </row>
    <row r="74" customFormat="false" ht="23.25" hidden="false" customHeight="true" outlineLevel="0" collapsed="false">
      <c r="A74" s="7" t="n">
        <v>10</v>
      </c>
      <c r="B74" s="3" t="s">
        <v>35</v>
      </c>
      <c r="C74" s="3" t="s">
        <v>273</v>
      </c>
      <c r="D74" s="3" t="s">
        <v>274</v>
      </c>
      <c r="E74" s="3" t="s">
        <v>275</v>
      </c>
      <c r="F74" s="3" t="s">
        <v>61</v>
      </c>
      <c r="G74" s="3" t="s">
        <v>61</v>
      </c>
      <c r="H74" s="8" t="n">
        <v>4</v>
      </c>
      <c r="I74" s="8" t="n">
        <v>3.85</v>
      </c>
      <c r="J74" s="8" t="n">
        <v>3.9</v>
      </c>
      <c r="K74" s="8" t="n">
        <v>4</v>
      </c>
      <c r="L74" s="8" t="n">
        <v>3.8</v>
      </c>
      <c r="M74" s="8" t="n">
        <v>3.95</v>
      </c>
      <c r="N74" s="8" t="n">
        <v>4</v>
      </c>
      <c r="O74" s="8" t="n">
        <f aca="false">H74*Methodology!$E$4+I74*Methodology!$E$5+J74*Methodology!$E$6+K74*Methodology!$E$7+L74*Methodology!$E$8+M74*Methodology!$E$9+N74*Methodology!$E$10</f>
        <v>3.925</v>
      </c>
      <c r="P74" s="8" t="n">
        <f aca="false">1+(O74*2.25)</f>
        <v>9.83125</v>
      </c>
      <c r="Q74" s="7" t="n">
        <f aca="false">ROUND(P74,0)</f>
        <v>10</v>
      </c>
      <c r="R74" s="3" t="s">
        <v>276</v>
      </c>
    </row>
    <row r="75" customFormat="false" ht="15" hidden="false" customHeight="true" outlineLevel="0" collapsed="false">
      <c r="A75" s="1" t="n">
        <v>2</v>
      </c>
      <c r="B75" s="1" t="s">
        <v>27</v>
      </c>
      <c r="C75" s="1" t="s">
        <v>277</v>
      </c>
      <c r="D75" s="1" t="s">
        <v>278</v>
      </c>
      <c r="E75" s="1" t="s">
        <v>279</v>
      </c>
      <c r="F75" s="1" t="s">
        <v>61</v>
      </c>
      <c r="G75" s="1" t="s">
        <v>61</v>
      </c>
      <c r="H75" s="1" t="n">
        <v>0.3</v>
      </c>
      <c r="I75" s="1" t="n">
        <v>0.5</v>
      </c>
      <c r="J75" s="1" t="n">
        <v>0.2</v>
      </c>
      <c r="K75" s="1" t="n">
        <v>0.2</v>
      </c>
      <c r="L75" s="1" t="n">
        <v>0.4</v>
      </c>
      <c r="M75" s="1" t="n">
        <v>0.2</v>
      </c>
      <c r="N75" s="1" t="n">
        <v>1</v>
      </c>
      <c r="O75" s="1" t="n">
        <f aca="false">H75*Methodology!$E$4+I75*Methodology!$E$5+J75*Methodology!$E$6+K75*Methodology!$E$7+L75*Methodology!$E$8+M75*Methodology!$E$9+N75*Methodology!$E$10</f>
        <v>0.37</v>
      </c>
      <c r="P75" s="1" t="n">
        <f aca="false">1+(O75*2.25)</f>
        <v>1.8325</v>
      </c>
      <c r="Q75" s="1" t="n">
        <f aca="false">ROUND(P75,0)</f>
        <v>2</v>
      </c>
      <c r="R75" s="1" t="s">
        <v>280</v>
      </c>
    </row>
    <row r="76" customFormat="false" ht="15" hidden="false" customHeight="true" outlineLevel="0" collapsed="false">
      <c r="A76" s="1" t="n">
        <v>3</v>
      </c>
      <c r="B76" s="1" t="s">
        <v>28</v>
      </c>
      <c r="C76" s="1" t="s">
        <v>281</v>
      </c>
      <c r="D76" s="1" t="s">
        <v>282</v>
      </c>
      <c r="E76" s="1" t="s">
        <v>283</v>
      </c>
      <c r="F76" s="1" t="s">
        <v>61</v>
      </c>
      <c r="G76" s="1" t="s">
        <v>61</v>
      </c>
      <c r="H76" s="1" t="n">
        <v>0.85</v>
      </c>
      <c r="I76" s="1" t="n">
        <v>0.75</v>
      </c>
      <c r="J76" s="1" t="n">
        <v>0.6</v>
      </c>
      <c r="K76" s="1" t="n">
        <v>0.85</v>
      </c>
      <c r="L76" s="1" t="n">
        <v>0.55</v>
      </c>
      <c r="M76" s="1" t="n">
        <v>0.6</v>
      </c>
      <c r="N76" s="1" t="n">
        <v>1.15</v>
      </c>
      <c r="O76" s="1" t="n">
        <f aca="false">H76*Methodology!$E$4+I76*Methodology!$E$5+J76*Methodology!$E$6+K76*Methodology!$E$7+L76*Methodology!$E$8+M76*Methodology!$E$9+N76*Methodology!$E$10</f>
        <v>0.745</v>
      </c>
      <c r="P76" s="1" t="n">
        <f aca="false">1+(O76*2.25)</f>
        <v>2.67625</v>
      </c>
      <c r="Q76" s="1" t="n">
        <f aca="false">ROUND(P76,0)</f>
        <v>3</v>
      </c>
      <c r="R76" s="1" t="s">
        <v>284</v>
      </c>
    </row>
    <row r="77" customFormat="false" ht="15" hidden="false" customHeight="true" outlineLevel="0" collapsed="false">
      <c r="A77" s="1" t="n">
        <v>4</v>
      </c>
      <c r="B77" s="1" t="s">
        <v>29</v>
      </c>
      <c r="C77" s="1" t="s">
        <v>285</v>
      </c>
      <c r="D77" s="1" t="s">
        <v>282</v>
      </c>
      <c r="E77" s="1" t="s">
        <v>286</v>
      </c>
      <c r="F77" s="1" t="s">
        <v>61</v>
      </c>
      <c r="G77" s="1" t="s">
        <v>61</v>
      </c>
      <c r="H77" s="1" t="n">
        <v>1.3</v>
      </c>
      <c r="I77" s="1" t="n">
        <v>1.15</v>
      </c>
      <c r="J77" s="1" t="n">
        <v>1</v>
      </c>
      <c r="K77" s="1" t="n">
        <v>1.5</v>
      </c>
      <c r="L77" s="1" t="n">
        <v>1</v>
      </c>
      <c r="M77" s="1" t="n">
        <v>1.2</v>
      </c>
      <c r="N77" s="1" t="n">
        <v>1.5</v>
      </c>
      <c r="O77" s="1" t="n">
        <f aca="false">H77*Methodology!$E$4+I77*Methodology!$E$5+J77*Methodology!$E$6+K77*Methodology!$E$7+L77*Methodology!$E$8+M77*Methodology!$E$9+N77*Methodology!$E$10</f>
        <v>1.2225</v>
      </c>
      <c r="P77" s="1" t="n">
        <f aca="false">1+(O77*2.25)</f>
        <v>3.750625</v>
      </c>
      <c r="Q77" s="1" t="n">
        <f aca="false">ROUND(P77,0)</f>
        <v>4</v>
      </c>
      <c r="R77" s="1" t="s">
        <v>287</v>
      </c>
    </row>
    <row r="78" customFormat="false" ht="15" hidden="false" customHeight="true" outlineLevel="0" collapsed="false">
      <c r="A78" s="1" t="n">
        <v>6</v>
      </c>
      <c r="B78" s="1" t="s">
        <v>31</v>
      </c>
      <c r="C78" s="1" t="s">
        <v>288</v>
      </c>
      <c r="D78" s="1" t="s">
        <v>129</v>
      </c>
      <c r="E78" s="1" t="s">
        <v>289</v>
      </c>
      <c r="F78" s="1" t="s">
        <v>61</v>
      </c>
      <c r="G78" s="1" t="s">
        <v>61</v>
      </c>
      <c r="H78" s="1" t="n">
        <v>2.1</v>
      </c>
      <c r="I78" s="1" t="n">
        <v>1.9</v>
      </c>
      <c r="J78" s="1" t="n">
        <v>2.2</v>
      </c>
      <c r="K78" s="1" t="n">
        <v>2.4</v>
      </c>
      <c r="L78" s="1" t="n">
        <v>1.7</v>
      </c>
      <c r="M78" s="1" t="n">
        <v>2</v>
      </c>
      <c r="N78" s="1" t="n">
        <v>3.1</v>
      </c>
      <c r="O78" s="1" t="n">
        <f aca="false">H78*Methodology!$E$4+I78*Methodology!$E$5+J78*Methodology!$E$6+K78*Methodology!$E$7+L78*Methodology!$E$8+M78*Methodology!$E$9+N78*Methodology!$E$10</f>
        <v>2.155</v>
      </c>
      <c r="P78" s="1" t="n">
        <f aca="false">1+(O78*2.25)</f>
        <v>5.84875</v>
      </c>
      <c r="Q78" s="1" t="n">
        <f aca="false">ROUND(P78,0)</f>
        <v>6</v>
      </c>
      <c r="R78" s="1" t="s">
        <v>290</v>
      </c>
    </row>
    <row r="79" customFormat="false" ht="15" hidden="false" customHeight="true" outlineLevel="0" collapsed="false">
      <c r="A79" s="1" t="n">
        <v>7</v>
      </c>
      <c r="B79" s="1" t="s">
        <v>32</v>
      </c>
      <c r="C79" s="1" t="s">
        <v>291</v>
      </c>
      <c r="D79" s="1" t="s">
        <v>292</v>
      </c>
      <c r="E79" s="1" t="s">
        <v>293</v>
      </c>
      <c r="F79" s="1" t="s">
        <v>61</v>
      </c>
      <c r="G79" s="1" t="s">
        <v>61</v>
      </c>
      <c r="H79" s="1" t="n">
        <v>2.5</v>
      </c>
      <c r="I79" s="1" t="n">
        <v>2.8</v>
      </c>
      <c r="J79" s="1" t="n">
        <v>3.1</v>
      </c>
      <c r="K79" s="1" t="n">
        <v>2.7</v>
      </c>
      <c r="L79" s="1" t="n">
        <v>2.8</v>
      </c>
      <c r="M79" s="1" t="n">
        <v>2.7</v>
      </c>
      <c r="N79" s="1" t="n">
        <v>3.1</v>
      </c>
      <c r="O79" s="1" t="n">
        <f aca="false">H79*Methodology!$E$4+I79*Methodology!$E$5+J79*Methodology!$E$6+K79*Methodology!$E$7+L79*Methodology!$E$8+M79*Methodology!$E$9+N79*Methodology!$E$10</f>
        <v>2.8</v>
      </c>
      <c r="P79" s="1" t="n">
        <f aca="false">1+(O79*2.25)</f>
        <v>7.3</v>
      </c>
      <c r="Q79" s="1" t="n">
        <f aca="false">ROUND(P79,0)</f>
        <v>7</v>
      </c>
      <c r="R79" s="1" t="s">
        <v>294</v>
      </c>
    </row>
    <row r="80" customFormat="false" ht="15" hidden="false" customHeight="true" outlineLevel="0" collapsed="false">
      <c r="A80" s="1" t="n">
        <v>6</v>
      </c>
      <c r="B80" s="1" t="s">
        <v>31</v>
      </c>
      <c r="C80" s="1" t="s">
        <v>295</v>
      </c>
      <c r="D80" s="1" t="s">
        <v>244</v>
      </c>
      <c r="E80" s="1" t="s">
        <v>296</v>
      </c>
      <c r="F80" s="1" t="s">
        <v>61</v>
      </c>
      <c r="G80" s="1" t="s">
        <v>61</v>
      </c>
      <c r="H80" s="1" t="n">
        <v>2.3</v>
      </c>
      <c r="I80" s="1" t="n">
        <v>1.8</v>
      </c>
      <c r="J80" s="1" t="n">
        <v>2.1</v>
      </c>
      <c r="K80" s="1" t="n">
        <v>2.3</v>
      </c>
      <c r="L80" s="1" t="n">
        <v>1.9</v>
      </c>
      <c r="M80" s="1" t="n">
        <v>1.8</v>
      </c>
      <c r="N80" s="1" t="n">
        <v>3.1</v>
      </c>
      <c r="O80" s="1" t="n">
        <f aca="false">H80*Methodology!$E$4+I80*Methodology!$E$5+J80*Methodology!$E$6+K80*Methodology!$E$7+L80*Methodology!$E$8+M80*Methodology!$E$9+N80*Methodology!$E$10</f>
        <v>2.14</v>
      </c>
      <c r="P80" s="1" t="n">
        <f aca="false">1+(O80*2.25)</f>
        <v>5.815</v>
      </c>
      <c r="Q80" s="1" t="n">
        <f aca="false">ROUND(P80,0)</f>
        <v>6</v>
      </c>
      <c r="R80" s="1" t="s">
        <v>297</v>
      </c>
    </row>
    <row r="81" customFormat="false" ht="15" hidden="false" customHeight="true" outlineLevel="0" collapsed="false">
      <c r="A81" s="1" t="n">
        <v>2</v>
      </c>
      <c r="B81" s="1" t="s">
        <v>27</v>
      </c>
      <c r="C81" s="1" t="s">
        <v>298</v>
      </c>
      <c r="D81" s="1" t="s">
        <v>59</v>
      </c>
      <c r="E81" s="1" t="s">
        <v>299</v>
      </c>
      <c r="F81" s="1" t="s">
        <v>61</v>
      </c>
      <c r="G81" s="1" t="s">
        <v>61</v>
      </c>
      <c r="H81" s="1" t="n">
        <v>0.5</v>
      </c>
      <c r="I81" s="1" t="n">
        <v>0.3</v>
      </c>
      <c r="J81" s="1" t="n">
        <v>0.35</v>
      </c>
      <c r="K81" s="1" t="n">
        <v>0.3</v>
      </c>
      <c r="L81" s="1" t="n">
        <v>0.3</v>
      </c>
      <c r="M81" s="1" t="n">
        <v>0.35</v>
      </c>
      <c r="N81" s="1" t="n">
        <v>0.9</v>
      </c>
      <c r="O81" s="1" t="n">
        <f aca="false">H81*Methodology!$E$4+I81*Methodology!$E$5+J81*Methodology!$E$6+K81*Methodology!$E$7+L81*Methodology!$E$8+M81*Methodology!$E$9+N81*Methodology!$E$10</f>
        <v>0.405</v>
      </c>
      <c r="P81" s="1" t="n">
        <f aca="false">1+(O81*2.25)</f>
        <v>1.91125</v>
      </c>
      <c r="Q81" s="1" t="n">
        <f aca="false">ROUND(P81,0)</f>
        <v>2</v>
      </c>
      <c r="R81" s="1" t="s">
        <v>300</v>
      </c>
    </row>
    <row r="82" customFormat="false" ht="15" hidden="false" customHeight="true" outlineLevel="0" collapsed="false">
      <c r="A82" s="1" t="n">
        <v>2</v>
      </c>
      <c r="B82" s="1" t="s">
        <v>27</v>
      </c>
      <c r="C82" s="1" t="s">
        <v>301</v>
      </c>
      <c r="D82" s="1" t="s">
        <v>88</v>
      </c>
      <c r="E82" s="1" t="s">
        <v>302</v>
      </c>
      <c r="F82" s="1" t="s">
        <v>61</v>
      </c>
      <c r="G82" s="1" t="s">
        <v>61</v>
      </c>
      <c r="H82" s="1" t="n">
        <v>0.6</v>
      </c>
      <c r="I82" s="1" t="n">
        <v>0.45</v>
      </c>
      <c r="J82" s="1" t="n">
        <v>0.5</v>
      </c>
      <c r="K82" s="1" t="n">
        <v>0.3</v>
      </c>
      <c r="L82" s="1" t="n">
        <v>0.5</v>
      </c>
      <c r="M82" s="1" t="n">
        <v>0.3</v>
      </c>
      <c r="N82" s="1" t="n">
        <v>0.95</v>
      </c>
      <c r="O82" s="1" t="n">
        <f aca="false">H82*Methodology!$E$4+I82*Methodology!$E$5+J82*Methodology!$E$6+K82*Methodology!$E$7+L82*Methodology!$E$8+M82*Methodology!$E$9+N82*Methodology!$E$10</f>
        <v>0.4925</v>
      </c>
      <c r="P82" s="1" t="n">
        <f aca="false">1+(O82*2.25)</f>
        <v>2.108125</v>
      </c>
      <c r="Q82" s="1" t="n">
        <f aca="false">ROUND(P82,0)</f>
        <v>2</v>
      </c>
      <c r="R82" s="1" t="s">
        <v>303</v>
      </c>
    </row>
    <row r="83" customFormat="false" ht="15" hidden="false" customHeight="true" outlineLevel="0" collapsed="false">
      <c r="A83" s="1" t="n">
        <v>8</v>
      </c>
      <c r="B83" s="1" t="s">
        <v>33</v>
      </c>
      <c r="C83" s="1" t="s">
        <v>304</v>
      </c>
      <c r="D83" s="1" t="s">
        <v>305</v>
      </c>
      <c r="E83" s="1" t="s">
        <v>306</v>
      </c>
      <c r="F83" s="1" t="s">
        <v>61</v>
      </c>
      <c r="G83" s="1" t="s">
        <v>61</v>
      </c>
      <c r="H83" s="1" t="n">
        <v>3.3</v>
      </c>
      <c r="I83" s="1" t="n">
        <v>3.4</v>
      </c>
      <c r="J83" s="1" t="n">
        <v>3.1</v>
      </c>
      <c r="K83" s="1" t="n">
        <v>3.5</v>
      </c>
      <c r="L83" s="1" t="n">
        <v>3.1</v>
      </c>
      <c r="M83" s="1" t="n">
        <v>3.3</v>
      </c>
      <c r="N83" s="1" t="n">
        <v>3.4</v>
      </c>
      <c r="O83" s="1" t="n">
        <f aca="false">H83*Methodology!$E$4+I83*Methodology!$E$5+J83*Methodology!$E$6+K83*Methodology!$E$7+L83*Methodology!$E$8+M83*Methodology!$E$9+N83*Methodology!$E$10</f>
        <v>3.295</v>
      </c>
      <c r="P83" s="1" t="n">
        <f aca="false">1+(O83*2.25)</f>
        <v>8.41375</v>
      </c>
      <c r="Q83" s="1" t="n">
        <f aca="false">ROUND(P83,0)</f>
        <v>8</v>
      </c>
      <c r="R83" s="1" t="s">
        <v>307</v>
      </c>
    </row>
    <row r="84" customFormat="false" ht="15" hidden="false" customHeight="true" outlineLevel="0" collapsed="false">
      <c r="A84" s="1" t="n">
        <v>2</v>
      </c>
      <c r="B84" s="1" t="s">
        <v>27</v>
      </c>
      <c r="C84" s="1" t="s">
        <v>308</v>
      </c>
      <c r="D84" s="1" t="s">
        <v>129</v>
      </c>
      <c r="E84" s="1" t="s">
        <v>309</v>
      </c>
      <c r="F84" s="1" t="s">
        <v>61</v>
      </c>
      <c r="G84" s="1" t="s">
        <v>62</v>
      </c>
      <c r="H84" s="1" t="n">
        <v>0.7</v>
      </c>
      <c r="I84" s="1" t="n">
        <v>0.4</v>
      </c>
      <c r="J84" s="1" t="n">
        <v>0.25</v>
      </c>
      <c r="K84" s="1" t="n">
        <v>0.2</v>
      </c>
      <c r="L84" s="1" t="n">
        <v>0.3</v>
      </c>
      <c r="M84" s="1" t="n">
        <v>0.6</v>
      </c>
      <c r="N84" s="1" t="n">
        <v>1</v>
      </c>
      <c r="O84" s="1" t="n">
        <f aca="false">H84*Methodology!$E$4+I84*Methodology!$E$5+J84*Methodology!$E$6+K84*Methodology!$E$7+L84*Methodology!$E$8+M84*Methodology!$E$9+N84*Methodology!$E$10</f>
        <v>0.4675</v>
      </c>
      <c r="P84" s="1" t="n">
        <f aca="false">1+(O84*2.25)</f>
        <v>2.051875</v>
      </c>
      <c r="Q84" s="1" t="n">
        <f aca="false">ROUND(P84,0)</f>
        <v>2</v>
      </c>
      <c r="R84" s="1" t="s">
        <v>310</v>
      </c>
    </row>
    <row r="85" customFormat="false" ht="15" hidden="false" customHeight="true" outlineLevel="0" collapsed="false">
      <c r="A85" s="1" t="n">
        <v>3</v>
      </c>
      <c r="B85" s="1" t="s">
        <v>28</v>
      </c>
      <c r="C85" s="1" t="s">
        <v>311</v>
      </c>
      <c r="D85" s="1" t="s">
        <v>312</v>
      </c>
      <c r="E85" s="1" t="s">
        <v>313</v>
      </c>
      <c r="F85" s="1" t="s">
        <v>61</v>
      </c>
      <c r="G85" s="1" t="s">
        <v>61</v>
      </c>
      <c r="H85" s="1" t="n">
        <v>0.9</v>
      </c>
      <c r="I85" s="1" t="n">
        <v>0.75</v>
      </c>
      <c r="J85" s="1" t="n">
        <v>0.7</v>
      </c>
      <c r="K85" s="1" t="n">
        <v>0.85</v>
      </c>
      <c r="L85" s="1" t="n">
        <v>0.6</v>
      </c>
      <c r="M85" s="1" t="n">
        <v>0.6</v>
      </c>
      <c r="N85" s="1" t="n">
        <v>1.15</v>
      </c>
      <c r="O85" s="1" t="n">
        <f aca="false">H85*Methodology!$E$4+I85*Methodology!$E$5+J85*Methodology!$E$6+K85*Methodology!$E$7+L85*Methodology!$E$8+M85*Methodology!$E$9+N85*Methodology!$E$10</f>
        <v>0.775</v>
      </c>
      <c r="P85" s="1" t="n">
        <f aca="false">1+(O85*2.25)</f>
        <v>2.74375</v>
      </c>
      <c r="Q85" s="1" t="n">
        <f aca="false">ROUND(P85,0)</f>
        <v>3</v>
      </c>
      <c r="R85" s="1" t="s">
        <v>314</v>
      </c>
    </row>
    <row r="86" customFormat="false" ht="15" hidden="false" customHeight="true" outlineLevel="0" collapsed="false">
      <c r="A86" s="1" t="n">
        <v>4</v>
      </c>
      <c r="B86" s="1" t="s">
        <v>29</v>
      </c>
      <c r="C86" s="1" t="s">
        <v>315</v>
      </c>
      <c r="D86" s="1" t="s">
        <v>316</v>
      </c>
      <c r="E86" s="1" t="s">
        <v>317</v>
      </c>
      <c r="F86" s="1" t="s">
        <v>61</v>
      </c>
      <c r="G86" s="1" t="s">
        <v>61</v>
      </c>
      <c r="H86" s="1" t="n">
        <v>1.3</v>
      </c>
      <c r="I86" s="1" t="n">
        <v>1.1</v>
      </c>
      <c r="J86" s="1" t="n">
        <v>1.25</v>
      </c>
      <c r="K86" s="1" t="n">
        <v>1.3</v>
      </c>
      <c r="L86" s="1" t="n">
        <v>0.95</v>
      </c>
      <c r="M86" s="1" t="n">
        <v>1</v>
      </c>
      <c r="N86" s="1" t="n">
        <v>1.85</v>
      </c>
      <c r="O86" s="1" t="n">
        <f aca="false">H86*Methodology!$E$4+I86*Methodology!$E$5+J86*Methodology!$E$6+K86*Methodology!$E$7+L86*Methodology!$E$8+M86*Methodology!$E$9+N86*Methodology!$E$10</f>
        <v>1.22</v>
      </c>
      <c r="P86" s="1" t="n">
        <f aca="false">1+(O86*2.25)</f>
        <v>3.745</v>
      </c>
      <c r="Q86" s="1" t="n">
        <f aca="false">ROUND(P86,0)</f>
        <v>4</v>
      </c>
      <c r="R86" s="1" t="s">
        <v>318</v>
      </c>
    </row>
    <row r="87" customFormat="false" ht="15" hidden="false" customHeight="true" outlineLevel="0" collapsed="false">
      <c r="A87" s="1" t="n">
        <v>2</v>
      </c>
      <c r="B87" s="1" t="s">
        <v>27</v>
      </c>
      <c r="C87" s="1" t="s">
        <v>319</v>
      </c>
      <c r="D87" s="1" t="s">
        <v>59</v>
      </c>
      <c r="E87" s="1" t="s">
        <v>320</v>
      </c>
      <c r="F87" s="1" t="s">
        <v>61</v>
      </c>
      <c r="G87" s="1" t="s">
        <v>61</v>
      </c>
      <c r="H87" s="1" t="n">
        <v>0.25</v>
      </c>
      <c r="I87" s="1" t="n">
        <v>0.25</v>
      </c>
      <c r="J87" s="1" t="n">
        <v>0.2</v>
      </c>
      <c r="K87" s="1" t="n">
        <v>0.15</v>
      </c>
      <c r="L87" s="1" t="n">
        <v>0.2</v>
      </c>
      <c r="M87" s="1" t="n">
        <v>0.2</v>
      </c>
      <c r="N87" s="1" t="n">
        <v>1.3</v>
      </c>
      <c r="O87" s="1" t="n">
        <f aca="false">H87*Methodology!$E$4+I87*Methodology!$E$5+J87*Methodology!$E$6+K87*Methodology!$E$7+L87*Methodology!$E$8+M87*Methodology!$E$9+N87*Methodology!$E$10</f>
        <v>0.3175</v>
      </c>
      <c r="P87" s="1" t="n">
        <f aca="false">1+(O87*2.25)</f>
        <v>1.714375</v>
      </c>
      <c r="Q87" s="1" t="n">
        <f aca="false">ROUND(P87,0)</f>
        <v>2</v>
      </c>
      <c r="R87" s="1" t="s">
        <v>321</v>
      </c>
    </row>
    <row r="88" customFormat="false" ht="15" hidden="false" customHeight="false" outlineLevel="0" collapsed="false">
      <c r="A88" s="1" t="n">
        <v>2</v>
      </c>
      <c r="B88" s="1" t="s">
        <v>27</v>
      </c>
      <c r="C88" s="1" t="s">
        <v>322</v>
      </c>
      <c r="D88" s="1" t="s">
        <v>59</v>
      </c>
      <c r="E88" s="1" t="s">
        <v>323</v>
      </c>
      <c r="F88" s="1" t="s">
        <v>61</v>
      </c>
      <c r="G88" s="1" t="s">
        <v>61</v>
      </c>
      <c r="H88" s="1" t="n">
        <v>0.45</v>
      </c>
      <c r="I88" s="1" t="n">
        <v>0.3</v>
      </c>
      <c r="J88" s="1" t="n">
        <v>0.3</v>
      </c>
      <c r="K88" s="1" t="n">
        <v>0.45</v>
      </c>
      <c r="L88" s="1" t="n">
        <v>0.25</v>
      </c>
      <c r="M88" s="1" t="n">
        <v>0.3</v>
      </c>
      <c r="N88" s="1" t="n">
        <v>0.7</v>
      </c>
      <c r="O88" s="1" t="n">
        <f aca="false">H88*Methodology!$E$4+I88*Methodology!$E$5+J88*Methodology!$E$6+K88*Methodology!$E$7+L88*Methodology!$E$8+M88*Methodology!$E$9+N88*Methodology!$E$10</f>
        <v>0.3775</v>
      </c>
      <c r="P88" s="1" t="n">
        <f aca="false">1+(O88*2.25)</f>
        <v>1.849375</v>
      </c>
      <c r="Q88" s="1" t="n">
        <f aca="false">ROUND(P88,0)</f>
        <v>2</v>
      </c>
      <c r="R88" s="1" t="s">
        <v>324</v>
      </c>
    </row>
  </sheetData>
  <conditionalFormatting sqref="H2:N74">
    <cfRule type="colorScale" priority="2">
      <colorScale>
        <cfvo type="min" val="0"/>
        <cfvo type="percentile" val="50"/>
        <cfvo type="max" val="0"/>
        <color rgb="FFDCFCE7"/>
        <color rgb="FFFEF3C7"/>
        <color rgb="FFFECACA"/>
      </colorScale>
    </cfRule>
  </conditionalFormatting>
  <conditionalFormatting sqref="P2:P74">
    <cfRule type="colorScale" priority="3">
      <colorScale>
        <cfvo type="min" val="0"/>
        <cfvo type="percentile" val="50"/>
        <cfvo type="max" val="0"/>
        <color rgb="FFDCFCE7"/>
        <color rgb="FFFDE68A"/>
        <color rgb="FF7F1D1D"/>
      </colorScale>
    </cfRule>
  </conditionalFormatting>
  <dataValidations count="2">
    <dataValidation allowBlank="false" errorStyle="stop" operator="between" showDropDown="false" showErrorMessage="false" showInputMessage="false" sqref="H2:N74" type="decimal">
      <formula1>0</formula1>
      <formula2>4</formula2>
    </dataValidation>
    <dataValidation allowBlank="false" errorStyle="stop" operator="between" showDropDown="false" showErrorMessage="false" showInputMessage="false" sqref="F2:G74" type="list">
      <formula1>"Yes,Partial,Rare,No"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4" min="3" style="1" width="22"/>
  </cols>
  <sheetData>
    <row r="1" customFormat="false" ht="19.5" hidden="false" customHeight="true" outlineLevel="0" collapsed="false">
      <c r="A1" s="9" t="s">
        <v>325</v>
      </c>
      <c r="B1" s="9"/>
      <c r="C1" s="9"/>
      <c r="D1" s="9"/>
      <c r="E1" s="9"/>
      <c r="F1" s="9"/>
    </row>
    <row r="3" customFormat="false" ht="15" hidden="false" customHeight="true" outlineLevel="0" collapsed="false">
      <c r="A3" s="10" t="s">
        <v>24</v>
      </c>
      <c r="B3" s="10" t="s">
        <v>25</v>
      </c>
      <c r="C3" s="10" t="s">
        <v>326</v>
      </c>
      <c r="D3" s="10" t="s">
        <v>327</v>
      </c>
    </row>
    <row r="4" customFormat="false" ht="15" hidden="false" customHeight="true" outlineLevel="0" collapsed="false">
      <c r="A4" s="1" t="n">
        <v>1</v>
      </c>
      <c r="B4" s="1" t="s">
        <v>26</v>
      </c>
      <c r="C4" s="1" t="n">
        <f aca="false">COUNTIF(Evaluations!$A$2:$A$200,A4)</f>
        <v>4</v>
      </c>
      <c r="D4" s="11" t="n">
        <f aca="false">AVERAGEIF(Evaluations!$A$2:$A$200,A4,Evaluations!$P$2:$P$200)</f>
        <v>1.15890625</v>
      </c>
    </row>
    <row r="5" customFormat="false" ht="15" hidden="false" customHeight="true" outlineLevel="0" collapsed="false">
      <c r="A5" s="1" t="n">
        <v>2</v>
      </c>
      <c r="B5" s="1" t="s">
        <v>27</v>
      </c>
      <c r="C5" s="1" t="n">
        <f aca="false">COUNTIF(Evaluations!$A$2:$A$200,A5)</f>
        <v>19</v>
      </c>
      <c r="D5" s="11" t="n">
        <f aca="false">AVERAGEIF(Evaluations!$A$2:$A$200,A5,Evaluations!$P$2:$P$200)</f>
        <v>1.87276315789474</v>
      </c>
    </row>
    <row r="6" customFormat="false" ht="15" hidden="false" customHeight="true" outlineLevel="0" collapsed="false">
      <c r="A6" s="1" t="n">
        <v>3</v>
      </c>
      <c r="B6" s="1" t="s">
        <v>28</v>
      </c>
      <c r="C6" s="1" t="n">
        <f aca="false">COUNTIF(Evaluations!$A$2:$A$200,A6)</f>
        <v>17</v>
      </c>
      <c r="D6" s="11" t="n">
        <f aca="false">AVERAGEIF(Evaluations!$A$2:$A$200,A6,Evaluations!$P$2:$P$200)</f>
        <v>2.73481617647059</v>
      </c>
    </row>
    <row r="7" customFormat="false" ht="15" hidden="false" customHeight="true" outlineLevel="0" collapsed="false">
      <c r="A7" s="1" t="n">
        <v>4</v>
      </c>
      <c r="B7" s="1" t="s">
        <v>29</v>
      </c>
      <c r="C7" s="1" t="n">
        <f aca="false">COUNTIF(Evaluations!$A$2:$A$200,A7)</f>
        <v>22</v>
      </c>
      <c r="D7" s="11" t="n">
        <f aca="false">AVERAGEIF(Evaluations!$A$2:$A$200,A7,Evaluations!$P$2:$P$200)</f>
        <v>3.77107954545455</v>
      </c>
    </row>
    <row r="8" customFormat="false" ht="15" hidden="false" customHeight="true" outlineLevel="0" collapsed="false">
      <c r="A8" s="1" t="n">
        <v>5</v>
      </c>
      <c r="B8" s="1" t="s">
        <v>30</v>
      </c>
      <c r="C8" s="1" t="n">
        <f aca="false">COUNTIF(Evaluations!$A$2:$A$200,A8)</f>
        <v>9</v>
      </c>
      <c r="D8" s="11" t="n">
        <f aca="false">AVERAGEIF(Evaluations!$A$2:$A$200,A8,Evaluations!$P$2:$P$200)</f>
        <v>4.884375</v>
      </c>
    </row>
    <row r="9" customFormat="false" ht="15" hidden="false" customHeight="true" outlineLevel="0" collapsed="false">
      <c r="A9" s="1" t="n">
        <v>6</v>
      </c>
      <c r="B9" s="1" t="s">
        <v>31</v>
      </c>
      <c r="C9" s="1" t="n">
        <f aca="false">COUNTIF(Evaluations!$A$2:$A$200,A9)</f>
        <v>7</v>
      </c>
      <c r="D9" s="11" t="n">
        <f aca="false">AVERAGEIF(Evaluations!$A$2:$A$200,A9,Evaluations!$P$2:$P$200)</f>
        <v>5.98375</v>
      </c>
    </row>
    <row r="10" customFormat="false" ht="15" hidden="false" customHeight="true" outlineLevel="0" collapsed="false">
      <c r="A10" s="1" t="n">
        <v>7</v>
      </c>
      <c r="B10" s="1" t="s">
        <v>32</v>
      </c>
      <c r="C10" s="1" t="n">
        <f aca="false">COUNTIF(Evaluations!$A$2:$A$200,A10)</f>
        <v>2</v>
      </c>
      <c r="D10" s="11" t="n">
        <f aca="false">AVERAGEIF(Evaluations!$A$2:$A$200,A10,Evaluations!$P$2:$P$200)</f>
        <v>7.305625</v>
      </c>
    </row>
    <row r="11" customFormat="false" ht="15" hidden="false" customHeight="true" outlineLevel="0" collapsed="false">
      <c r="A11" s="1" t="n">
        <v>8</v>
      </c>
      <c r="B11" s="1" t="s">
        <v>33</v>
      </c>
      <c r="C11" s="1" t="n">
        <f aca="false">COUNTIF(Evaluations!$A$2:$A$200,A11)</f>
        <v>5</v>
      </c>
      <c r="D11" s="11" t="n">
        <f aca="false">AVERAGEIF(Evaluations!$A$2:$A$200,A11,Evaluations!$P$2:$P$200)</f>
        <v>8.385625</v>
      </c>
    </row>
    <row r="12" customFormat="false" ht="15" hidden="false" customHeight="true" outlineLevel="0" collapsed="false">
      <c r="A12" s="1" t="n">
        <v>9</v>
      </c>
      <c r="B12" s="1" t="s">
        <v>34</v>
      </c>
      <c r="C12" s="1" t="n">
        <f aca="false">COUNTIF(Evaluations!$A$2:$A$200,A12)</f>
        <v>1</v>
      </c>
      <c r="D12" s="11" t="n">
        <f aca="false">AVERAGEIF(Evaluations!$A$2:$A$200,A12,Evaluations!$P$2:$P$200)</f>
        <v>9.364375</v>
      </c>
    </row>
    <row r="13" customFormat="false" ht="15" hidden="false" customHeight="true" outlineLevel="0" collapsed="false">
      <c r="A13" s="1" t="n">
        <v>10</v>
      </c>
      <c r="B13" s="1" t="s">
        <v>35</v>
      </c>
      <c r="C13" s="1" t="n">
        <f aca="false">COUNTIF(Evaluations!$A$2:$A$200,A13)</f>
        <v>1</v>
      </c>
      <c r="D13" s="11" t="n">
        <f aca="false">AVERAGEIF(Evaluations!$A$2:$A$200,A13,Evaluations!$P$2:$P$200)</f>
        <v>9.83125</v>
      </c>
    </row>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2026-07-28T13:35:04Z</dcterms:created>
  <dc:creator>openpyxl</dc:creator>
  <dc:description/>
  <dc:language>en-US</dc:language>
  <cp:lastModifiedBy/>
  <dcterms:modified xsi:type="dcterms:W3CDTF">2026-07-31T03:59:04Z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